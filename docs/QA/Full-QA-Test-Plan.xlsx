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Automated Suite" sheetId="3" state="visible" r:id="rId3"/>
    <sheet xmlns:r="http://schemas.openxmlformats.org/officeDocument/2006/relationships" name="Gate &amp; Sign-off" sheetId="4" state="visible" r:id="rId4"/>
  </sheets>
  <definedNames>
    <definedName name="_xlnm._FilterDatabase" localSheetId="1" hidden="1">'Functional Tests'!$A$1:$M$77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dxfs count="5">
    <dxf>
      <fill>
        <patternFill patternType="solid">
          <fgColor rgb="00FCE4D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Tessera — Full QA Test Plan &amp; Sign-off</t>
        </is>
      </c>
    </row>
    <row r="4">
      <c r="A4" s="2" t="inlineStr">
        <is>
          <t>Story</t>
        </is>
      </c>
      <c r="B4" s="3" t="inlineStr">
        <is>
          <t>As the team lead I need a full functional QA pass over the Tessera platform (web SPA + backend) before promoting a build / running the demo.</t>
        </is>
      </c>
    </row>
    <row r="5">
      <c r="A5" s="2" t="inlineStr">
        <is>
          <t>Environment</t>
        </is>
      </c>
      <c r="B5" s="3" t="inlineStr">
        <is>
          <t>Prod (Azure): https://tessera.swedencentral.cloudapp.azure.com   ·   Dev: http://localhost:8000 (docker compose).</t>
        </is>
      </c>
    </row>
    <row r="6">
      <c r="A6" s="2" t="inlineStr">
        <is>
          <t>Version under test</t>
        </is>
      </c>
      <c r="B6" s="3" t="inlineStr">
        <is>
          <t>main (release) / develop (RC) — record the commit on the Sign-off sheet.</t>
        </is>
      </c>
    </row>
    <row r="7">
      <c r="A7" s="2" t="inlineStr">
        <is>
          <t>QA performed by</t>
        </is>
      </c>
      <c r="B7" s="3" t="inlineStr">
        <is>
          <t>Bruno Pinto</t>
        </is>
      </c>
    </row>
    <row r="8">
      <c r="A8" s="2" t="inlineStr">
        <is>
          <t>Start date</t>
        </is>
      </c>
      <c r="B8" s="4" t="n">
        <v>46211</v>
      </c>
    </row>
    <row r="9">
      <c r="A9" s="2" t="inlineStr">
        <is>
          <t>Seed data</t>
        </is>
      </c>
      <c r="B9" s="3" t="inlineStr">
        <is>
          <t>Run scripts/seed/seed-clubs.ps1 + seed-venues.ps1 against the target before testing (clubs/venues). Test users from the realm: admin/admin (platform-admin), gestor/gestor (club-manager), staff/staff (staff), adepto/adepto (fan).</t>
        </is>
      </c>
    </row>
    <row r="11">
      <c r="A11" s="2" t="inlineStr">
        <is>
          <t>How to use</t>
        </is>
      </c>
    </row>
    <row r="12">
      <c r="B12" s="3" t="inlineStr">
        <is>
          <t>1) 'Functional Tests' = manual, story-based UI testing. Execute each case, set Result (dropdown) + Notes / Tester / Date.</t>
        </is>
      </c>
    </row>
    <row r="13">
      <c r="B13" s="3" t="inlineStr">
        <is>
          <t>2) 'Automated Suite' = the backend JUnit suites run by the backend-tests GitHub Actions workflow (unit + @WebMvcTest RBAC + @DataJpaTest + Testcontainers integration + JaCoCo). Run it on the same commit and record per-service status.</t>
        </is>
      </c>
    </row>
    <row r="14">
      <c r="B14" s="3" t="inlineStr">
        <is>
          <t>3) 'Gate &amp; Sign-off' = auto summary of results + promotion gate criteria + sign-off. All gate rows Met = Y → promote.</t>
        </is>
      </c>
    </row>
    <row r="15">
      <c r="B15" s="3" t="inlineStr">
        <is>
          <t>4) Priority: P0 = gate-blocking happy paths + non-negotiable RBAC / data-isolation / money negatives; P1 = important; P2 = nice-to-have / cosmetic.</t>
        </is>
      </c>
    </row>
    <row r="16">
      <c r="B16" s="3" t="inlineStr">
        <is>
          <t>5) 'Auto?' = Y means the server-side rule is also covered by the JUnit suite (treat it as source of truth for the backend assertion; use the manual case to confirm the UI surfaces it). N = manual is the only coverage.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44" customWidth="1" min="4" max="4"/>
    <col width="32" customWidth="1" min="5" max="5"/>
    <col width="52" customWidth="1" min="6" max="6"/>
    <col width="44" customWidth="1" min="7" max="7"/>
    <col width="8" customWidth="1" min="8" max="8"/>
    <col width="7" customWidth="1" min="9" max="9"/>
    <col width="11" customWidth="1" min="10" max="10"/>
    <col width="28" customWidth="1" min="11" max="11"/>
    <col width="16" customWidth="1" min="12" max="12"/>
    <col width="12" customWidth="1" min="13" max="13"/>
  </cols>
  <sheetData>
    <row r="1" ht="28" customHeight="1">
      <c r="A1" s="5" t="inlineStr">
        <is>
          <t>ID</t>
        </is>
      </c>
      <c r="B1" s="5" t="inlineStr">
        <is>
          <t>Section</t>
        </is>
      </c>
      <c r="C1" s="5" t="inlineStr">
        <is>
          <t>Persona</t>
        </is>
      </c>
      <c r="D1" s="5" t="inlineStr">
        <is>
          <t>User Story</t>
        </is>
      </c>
      <c r="E1" s="5" t="inlineStr">
        <is>
          <t>Preconditions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Priority</t>
        </is>
      </c>
      <c r="I1" s="5" t="inlineStr">
        <is>
          <t>Auto?</t>
        </is>
      </c>
      <c r="J1" s="5" t="inlineStr">
        <is>
          <t>Result</t>
        </is>
      </c>
      <c r="K1" s="5" t="inlineStr">
        <is>
          <t>Notes</t>
        </is>
      </c>
      <c r="L1" s="5" t="inlineStr">
        <is>
          <t>Tester</t>
        </is>
      </c>
      <c r="M1" s="5" t="inlineStr">
        <is>
          <t>Date</t>
        </is>
      </c>
    </row>
    <row r="2">
      <c r="A2" s="6" t="inlineStr">
        <is>
          <t>AUTH-01</t>
        </is>
      </c>
      <c r="B2" s="3" t="inlineStr">
        <is>
          <t>1. Authentication &amp; Session (Keycloak OIDC)</t>
        </is>
      </c>
      <c r="C2" s="3" t="inlineStr">
        <is>
          <t>Any registered user</t>
        </is>
      </c>
      <c r="D2" s="3" t="inlineStr">
        <is>
          <t>Successful Keycloak login lands the user in the app</t>
        </is>
      </c>
      <c r="E2" s="3" t="inlineStr">
        <is>
          <t>A valid user exists in the tessera realm; no active session.</t>
        </is>
      </c>
      <c r="F2" s="3" t="inlineStr">
        <is>
          <t>1. Open the app URL
2. Click Entrar/Login → redirected to the Keycloak-hosted page
3. Enter valid username/password and submit
4. Wait for the redirect back</t>
        </is>
      </c>
      <c r="G2" s="3" t="inlineStr">
        <is>
          <t>User returns authenticated to the home page; the nav shows only what the role allows; no error screen.</t>
        </is>
      </c>
      <c r="H2" s="6" t="inlineStr">
        <is>
          <t>P0</t>
        </is>
      </c>
      <c r="I2" s="6" t="inlineStr">
        <is>
          <t>N</t>
        </is>
      </c>
      <c r="J2" s="3" t="n"/>
      <c r="K2" s="3" t="n"/>
      <c r="L2" s="3" t="n"/>
      <c r="M2" s="3" t="n"/>
    </row>
    <row r="3">
      <c r="A3" s="6" t="inlineStr">
        <is>
          <t>AUTH-02</t>
        </is>
      </c>
      <c r="B3" s="3" t="inlineStr">
        <is>
          <t>1. Authentication &amp; Session (Keycloak OIDC)</t>
        </is>
      </c>
      <c r="C3" s="3" t="inlineStr">
        <is>
          <t>Anonymous visitor</t>
        </is>
      </c>
      <c r="D3" s="3" t="inlineStr">
        <is>
          <t>Invalid credentials are rejected at Keycloak</t>
        </is>
      </c>
      <c r="E3" s="3" t="inlineStr">
        <is>
          <t>No active session.</t>
        </is>
      </c>
      <c r="F3" s="3" t="inlineStr">
        <is>
          <t>1. Go to the login page
2. Enter a wrong password / unknown username and submit
3. Retry with correct credentials</t>
        </is>
      </c>
      <c r="G3" s="3" t="inlineStr">
        <is>
          <t>Keycloak shows an invalid-credentials error and does NOT admit the user; the retry with correct credentials succeeds.</t>
        </is>
      </c>
      <c r="H3" s="6" t="inlineStr">
        <is>
          <t>P0</t>
        </is>
      </c>
      <c r="I3" s="6" t="inlineStr">
        <is>
          <t>N</t>
        </is>
      </c>
      <c r="J3" s="3" t="n"/>
      <c r="K3" s="3" t="n"/>
      <c r="L3" s="3" t="n"/>
      <c r="M3" s="3" t="n"/>
    </row>
    <row r="4">
      <c r="A4" s="6" t="inlineStr">
        <is>
          <t>AUTH-03</t>
        </is>
      </c>
      <c r="B4" s="3" t="inlineStr">
        <is>
          <t>1. Authentication &amp; Session (Keycloak OIDC)</t>
        </is>
      </c>
      <c r="C4" s="3" t="inlineStr">
        <is>
          <t>Any logged-in user</t>
        </is>
      </c>
      <c r="D4" s="3" t="inlineStr">
        <is>
          <t>Logout ends the session and returns to the login flow</t>
        </is>
      </c>
      <c r="E4" s="3" t="inlineStr">
        <is>
          <t>Logged in.</t>
        </is>
      </c>
      <c r="F4" s="3" t="inlineStr">
        <is>
          <t>1. Open the account menu and click Sair/Logout
2. After redirect, try to navigate back to a protected route (back button / direct URL)</t>
        </is>
      </c>
      <c r="G4" s="3" t="inlineStr">
        <is>
          <t>Session is terminated; navigating to any protected route re-triggers Keycloak login — no stale access via back button.</t>
        </is>
      </c>
      <c r="H4" s="6" t="inlineStr">
        <is>
          <t>P0</t>
        </is>
      </c>
      <c r="I4" s="6" t="inlineStr">
        <is>
          <t>N</t>
        </is>
      </c>
      <c r="J4" s="3" t="n"/>
      <c r="K4" s="3" t="n"/>
      <c r="L4" s="3" t="n"/>
      <c r="M4" s="3" t="n"/>
    </row>
    <row r="5">
      <c r="A5" s="6" t="inlineStr">
        <is>
          <t>AUTH-04</t>
        </is>
      </c>
      <c r="B5" s="3" t="inlineStr">
        <is>
          <t>1. Authentication &amp; Session (Keycloak OIDC)</t>
        </is>
      </c>
      <c r="C5" s="3" t="inlineStr">
        <is>
          <t>Anonymous visitor</t>
        </is>
      </c>
      <c r="D5" s="3" t="inlineStr">
        <is>
          <t>Self-registration creates a fan account</t>
        </is>
      </c>
      <c r="E5" s="3" t="inlineStr">
        <is>
          <t>Registration is enabled on the realm; no session.</t>
        </is>
      </c>
      <c r="F5" s="3" t="inlineStr">
        <is>
          <t>1. On the login page choose Registar/Register
2. Fill the sign-up form and submit
3. Log in with the new account</t>
        </is>
      </c>
      <c r="G5" s="3" t="inlineStr">
        <is>
          <t>A new account is created with the default 'fan' role; the user can browse the public catalogue and buy tickets, but sees no management nav.</t>
        </is>
      </c>
      <c r="H5" s="6" t="inlineStr">
        <is>
          <t>P1</t>
        </is>
      </c>
      <c r="I5" s="6" t="inlineStr">
        <is>
          <t>N</t>
        </is>
      </c>
      <c r="J5" s="3" t="n"/>
      <c r="K5" s="3" t="n"/>
      <c r="L5" s="3" t="n"/>
      <c r="M5" s="3" t="n"/>
    </row>
    <row r="6">
      <c r="A6" s="6" t="inlineStr">
        <is>
          <t>AUTH-05</t>
        </is>
      </c>
      <c r="B6" s="3" t="inlineStr">
        <is>
          <t>1. Authentication &amp; Session (Keycloak OIDC)</t>
        </is>
      </c>
      <c r="C6" s="3" t="inlineStr">
        <is>
          <t>Anonymous visitor</t>
        </is>
      </c>
      <c r="D6" s="3" t="inlineStr">
        <is>
          <t>Social login (Google) provisions a fan</t>
        </is>
      </c>
      <c r="E6" s="3" t="inlineStr">
        <is>
          <t>Google IdP configured on the realm.</t>
        </is>
      </c>
      <c r="F6" s="3" t="inlineStr">
        <is>
          <t>1. On the login page click 'Google'
2. Complete the Google consent
3. Land back in the app</t>
        </is>
      </c>
      <c r="G6" s="3" t="inlineStr">
        <is>
          <t>First-time Google login creates a fan-mapped account (hardcoded fan role mapper) and lands authenticated.</t>
        </is>
      </c>
      <c r="H6" s="6" t="inlineStr">
        <is>
          <t>P2</t>
        </is>
      </c>
      <c r="I6" s="6" t="inlineStr">
        <is>
          <t>N</t>
        </is>
      </c>
      <c r="J6" s="3" t="n"/>
      <c r="K6" s="3" t="n"/>
      <c r="L6" s="3" t="n"/>
      <c r="M6" s="3" t="n"/>
    </row>
    <row r="7">
      <c r="A7" s="6" t="inlineStr">
        <is>
          <t>AUTH-06</t>
        </is>
      </c>
      <c r="B7" s="3" t="inlineStr">
        <is>
          <t>1. Authentication &amp; Session (Keycloak OIDC)</t>
        </is>
      </c>
      <c r="C7" s="3" t="inlineStr">
        <is>
          <t>Manager / staff user</t>
        </is>
      </c>
      <c r="D7" s="3" t="inlineStr">
        <is>
          <t>Token carries realm roles and club-scope groups</t>
        </is>
      </c>
      <c r="E7" s="3" t="inlineStr">
        <is>
          <t>A user who is a manager/staff of a specific club.</t>
        </is>
      </c>
      <c r="F7" s="3" t="inlineStr">
        <is>
          <t>1. Log in
2. (Dev) inspect the access token (jwt.io) or trigger a scoped action</t>
        </is>
      </c>
      <c r="G7" s="3" t="inlineStr">
        <is>
          <t>Token includes realm roles (roles claim) and full group paths (groups claim, e.g. /clubs/7/managers) used for club-scoped authorization.</t>
        </is>
      </c>
      <c r="H7" s="6" t="inlineStr">
        <is>
          <t>P1</t>
        </is>
      </c>
      <c r="I7" s="6" t="inlineStr">
        <is>
          <t>Y</t>
        </is>
      </c>
      <c r="J7" s="3" t="n"/>
      <c r="K7" s="3" t="n"/>
      <c r="L7" s="3" t="n"/>
      <c r="M7" s="3" t="n"/>
    </row>
    <row r="8">
      <c r="A8" s="6" t="inlineStr">
        <is>
          <t>AUTH-07</t>
        </is>
      </c>
      <c r="B8" s="3" t="inlineStr">
        <is>
          <t>1. Authentication &amp; Session (Keycloak OIDC)</t>
        </is>
      </c>
      <c r="C8" s="3" t="inlineStr">
        <is>
          <t>Long-lived session user</t>
        </is>
      </c>
      <c r="D8" s="3" t="inlineStr">
        <is>
          <t>Access token silently refreshes</t>
        </is>
      </c>
      <c r="E8" s="3" t="inlineStr">
        <is>
          <t>Logged in; leave the tab open past token TTL.</t>
        </is>
      </c>
      <c r="F8" s="3" t="inlineStr">
        <is>
          <t>1. Stay logged in past the access-token expiry
2. Keep using the app (navigate, reload a list)</t>
        </is>
      </c>
      <c r="G8" s="3" t="inlineStr">
        <is>
          <t>keycloak-js silently refreshes the token; requests keep succeeding without a manual re-login.</t>
        </is>
      </c>
      <c r="H8" s="6" t="inlineStr">
        <is>
          <t>P2</t>
        </is>
      </c>
      <c r="I8" s="6" t="inlineStr">
        <is>
          <t>N</t>
        </is>
      </c>
      <c r="J8" s="3" t="n"/>
      <c r="K8" s="3" t="n"/>
      <c r="L8" s="3" t="n"/>
      <c r="M8" s="3" t="n"/>
    </row>
    <row r="9">
      <c r="A9" s="6" t="inlineStr">
        <is>
          <t>AUTH-08</t>
        </is>
      </c>
      <c r="B9" s="3" t="inlineStr">
        <is>
          <t>1. Authentication &amp; Session (Keycloak OIDC)</t>
        </is>
      </c>
      <c r="C9" s="3" t="inlineStr">
        <is>
          <t>Anonymous / forged caller</t>
        </is>
      </c>
      <c r="D9" s="3" t="inlineStr">
        <is>
          <t>Backend rejects requests with no/invalid token</t>
        </is>
      </c>
      <c r="E9" s="3" t="inlineStr">
        <is>
          <t>None.</t>
        </is>
      </c>
      <c r="F9" s="3" t="inlineStr">
        <is>
          <t>1. Call a protected API (e.g. /api/v1/stats/sales/summary) with no Authorization header
2. Call it with a garbage/expired bearer token</t>
        </is>
      </c>
      <c r="G9" s="3" t="inlineStr">
        <is>
          <t>Both return 401 Unauthorized; the resource servers validate the token signature via JWKS.</t>
        </is>
      </c>
      <c r="H9" s="6" t="inlineStr">
        <is>
          <t>P0</t>
        </is>
      </c>
      <c r="I9" s="6" t="inlineStr">
        <is>
          <t>Y</t>
        </is>
      </c>
      <c r="J9" s="3" t="n"/>
      <c r="K9" s="3" t="n"/>
      <c r="L9" s="3" t="n"/>
      <c r="M9" s="3" t="n"/>
    </row>
    <row r="10">
      <c r="A10" s="6" t="inlineStr">
        <is>
          <t>RBAC-01</t>
        </is>
      </c>
      <c r="B10" s="3" t="inlineStr">
        <is>
          <t>2. Role-based Access &amp; Navigation</t>
        </is>
      </c>
      <c r="C10" s="3" t="inlineStr">
        <is>
          <t>Platform admin</t>
        </is>
      </c>
      <c r="D10" s="3" t="inlineStr">
        <is>
          <t>Admin sees the full navigation and global scope</t>
        </is>
      </c>
      <c r="E10" s="3" t="inlineStr">
        <is>
          <t>Logged in as admin.</t>
        </is>
      </c>
      <c r="F10" s="3" t="inlineStr">
        <is>
          <t>1. Log in as admin
2. Inspect the nav / home</t>
        </is>
      </c>
      <c r="G10" s="3" t="inlineStr">
        <is>
          <t>Admin can reach clubs, matches, users and the GLOBAL stats dashboard; nothing is club-restricted.</t>
        </is>
      </c>
      <c r="H10" s="6" t="inlineStr">
        <is>
          <t>P0</t>
        </is>
      </c>
      <c r="I10" s="6" t="inlineStr">
        <is>
          <t>N</t>
        </is>
      </c>
      <c r="J10" s="3" t="n"/>
      <c r="K10" s="3" t="n"/>
      <c r="L10" s="3" t="n"/>
      <c r="M10" s="3" t="n"/>
    </row>
    <row r="11">
      <c r="A11" s="6" t="inlineStr">
        <is>
          <t>RBAC-02</t>
        </is>
      </c>
      <c r="B11" s="3" t="inlineStr">
        <is>
          <t>2. Role-based Access &amp; Navigation</t>
        </is>
      </c>
      <c r="C11" s="3" t="inlineStr">
        <is>
          <t>Club manager</t>
        </is>
      </c>
      <c r="D11" s="3" t="inlineStr">
        <is>
          <t>Manager sees management only for their own club(s)</t>
        </is>
      </c>
      <c r="E11" s="3" t="inlineStr">
        <is>
          <t>gestor is a manager of club X only.</t>
        </is>
      </c>
      <c r="F11" s="3" t="inlineStr">
        <is>
          <t>1. Log in as gestor
2. Inspect the nav and the club/team/match management</t>
        </is>
      </c>
      <c r="G11" s="3" t="inlineStr">
        <is>
          <t>Manager can manage club X (teams, players, matches, box office) and sees a club-scoped stats dashboard; other clubs are read-only / hidden.</t>
        </is>
      </c>
      <c r="H11" s="6" t="inlineStr">
        <is>
          <t>P0</t>
        </is>
      </c>
      <c r="I11" s="6" t="inlineStr">
        <is>
          <t>N</t>
        </is>
      </c>
      <c r="J11" s="3" t="n"/>
      <c r="K11" s="3" t="n"/>
      <c r="L11" s="3" t="n"/>
      <c r="M11" s="3" t="n"/>
    </row>
    <row r="12">
      <c r="A12" s="6" t="inlineStr">
        <is>
          <t>RBAC-03</t>
        </is>
      </c>
      <c r="B12" s="3" t="inlineStr">
        <is>
          <t>2. Role-based Access &amp; Navigation</t>
        </is>
      </c>
      <c r="C12" s="3" t="inlineStr">
        <is>
          <t>Staff</t>
        </is>
      </c>
      <c r="D12" s="3" t="inlineStr">
        <is>
          <t>Staff sees validation + match sheet, no management/revenue</t>
        </is>
      </c>
      <c r="E12" s="3" t="inlineStr">
        <is>
          <t>staff belongs to club X.</t>
        </is>
      </c>
      <c r="F12" s="3" t="inlineStr">
        <is>
          <t>1. Log in as staff
2. Inspect the nav / home</t>
        </is>
      </c>
      <c r="G12" s="3" t="inlineStr">
        <is>
          <t>Staff can validate tickets and edit match sheets for club X; sees ticket counts but NO revenue; no catalogue/user management.</t>
        </is>
      </c>
      <c r="H12" s="6" t="inlineStr">
        <is>
          <t>P0</t>
        </is>
      </c>
      <c r="I12" s="6" t="inlineStr">
        <is>
          <t>N</t>
        </is>
      </c>
      <c r="J12" s="3" t="n"/>
      <c r="K12" s="3" t="n"/>
      <c r="L12" s="3" t="n"/>
      <c r="M12" s="3" t="n"/>
    </row>
    <row r="13">
      <c r="A13" s="6" t="inlineStr">
        <is>
          <t>RBAC-04</t>
        </is>
      </c>
      <c r="B13" s="3" t="inlineStr">
        <is>
          <t>2. Role-based Access &amp; Navigation</t>
        </is>
      </c>
      <c r="C13" s="3" t="inlineStr">
        <is>
          <t>Fan</t>
        </is>
      </c>
      <c r="D13" s="3" t="inlineStr">
        <is>
          <t>Fan sees public catalogue and own tickets only</t>
        </is>
      </c>
      <c r="E13" s="3" t="inlineStr">
        <is>
          <t>adepto logged in.</t>
        </is>
      </c>
      <c r="F13" s="3" t="inlineStr">
        <is>
          <t>1. Log in as adepto
2. Inspect the nav</t>
        </is>
      </c>
      <c r="G13" s="3" t="inlineStr">
        <is>
          <t>Fan sees public jogos/clubs, 'Os meus bilhetes' and recent results; no admin/manager/staff areas.</t>
        </is>
      </c>
      <c r="H13" s="6" t="inlineStr">
        <is>
          <t>P0</t>
        </is>
      </c>
      <c r="I13" s="6" t="inlineStr">
        <is>
          <t>N</t>
        </is>
      </c>
      <c r="J13" s="3" t="n"/>
      <c r="K13" s="3" t="n"/>
      <c r="L13" s="3" t="n"/>
      <c r="M13" s="3" t="n"/>
    </row>
    <row r="14">
      <c r="A14" s="6" t="inlineStr">
        <is>
          <t>RBAC-05</t>
        </is>
      </c>
      <c r="B14" s="3" t="inlineStr">
        <is>
          <t>2. Role-based Access &amp; Navigation</t>
        </is>
      </c>
      <c r="C14" s="3" t="inlineStr">
        <is>
          <t>Club manager</t>
        </is>
      </c>
      <c r="D14" s="3" t="inlineStr">
        <is>
          <t>Manager cannot mutate another club's data (403)</t>
        </is>
      </c>
      <c r="E14" s="3" t="inlineStr">
        <is>
          <t>gestor manages club X; club Y exists.</t>
        </is>
      </c>
      <c r="F14" s="3" t="inlineStr">
        <is>
          <t>1. As gestor, attempt to create/edit a team, player or match for club Y (via UI action or direct API)</t>
        </is>
      </c>
      <c r="G14" s="3" t="inlineStr">
        <is>
          <t>Request is refused with 403 Forbidden; no change persists. Enforced server-side from the groups claim.</t>
        </is>
      </c>
      <c r="H14" s="6" t="inlineStr">
        <is>
          <t>P0</t>
        </is>
      </c>
      <c r="I14" s="6" t="inlineStr">
        <is>
          <t>Y</t>
        </is>
      </c>
      <c r="J14" s="3" t="n"/>
      <c r="K14" s="3" t="n"/>
      <c r="L14" s="3" t="n"/>
      <c r="M14" s="3" t="n"/>
    </row>
    <row r="15">
      <c r="A15" s="6" t="inlineStr">
        <is>
          <t>RBAC-06</t>
        </is>
      </c>
      <c r="B15" s="3" t="inlineStr">
        <is>
          <t>2. Role-based Access &amp; Navigation</t>
        </is>
      </c>
      <c r="C15" s="3" t="inlineStr">
        <is>
          <t>Staff / fan</t>
        </is>
      </c>
      <c r="D15" s="3" t="inlineStr">
        <is>
          <t>Non-privileged roles cannot reach admin/management endpoints (403)</t>
        </is>
      </c>
      <c r="E15" s="3" t="inlineStr">
        <is>
          <t>staff and adepto logged in.</t>
        </is>
      </c>
      <c r="F15" s="3" t="inlineStr">
        <is>
          <t>1. As staff and as adepto, call a management endpoint (e.g. POST /api/v1/clubs, user-management)</t>
        </is>
      </c>
      <c r="G15" s="3" t="inlineStr">
        <is>
          <t>Both are refused with 403 Forbidden; the UI does not expose the controls either.</t>
        </is>
      </c>
      <c r="H15" s="6" t="inlineStr">
        <is>
          <t>P0</t>
        </is>
      </c>
      <c r="I15" s="6" t="inlineStr">
        <is>
          <t>Y</t>
        </is>
      </c>
      <c r="J15" s="3" t="n"/>
      <c r="K15" s="3" t="n"/>
      <c r="L15" s="3" t="n"/>
      <c r="M15" s="3" t="n"/>
    </row>
    <row r="16">
      <c r="A16" s="6" t="inlineStr">
        <is>
          <t>RBAC-07</t>
        </is>
      </c>
      <c r="B16" s="3" t="inlineStr">
        <is>
          <t>2. Role-based Access &amp; Navigation</t>
        </is>
      </c>
      <c r="C16" s="3" t="inlineStr">
        <is>
          <t>Anonymous visitor</t>
        </is>
      </c>
      <c r="D16" s="3" t="inlineStr">
        <is>
          <t>Deep-link to a protected route forces login then returns</t>
        </is>
      </c>
      <c r="E16" s="3" t="inlineStr">
        <is>
          <t>No session.</t>
        </is>
      </c>
      <c r="F16" s="3" t="inlineStr">
        <is>
          <t>1. Open a direct URL to a protected page (e.g. the match-sheet editor)
2. Complete the Keycloak login</t>
        </is>
      </c>
      <c r="G16" s="3" t="inlineStr">
        <is>
          <t>The app redirects to login and, after authenticating, returns to the originally-requested route.</t>
        </is>
      </c>
      <c r="H16" s="6" t="inlineStr">
        <is>
          <t>P1</t>
        </is>
      </c>
      <c r="I16" s="6" t="inlineStr">
        <is>
          <t>N</t>
        </is>
      </c>
      <c r="J16" s="3" t="n"/>
      <c r="K16" s="3" t="n"/>
      <c r="L16" s="3" t="n"/>
      <c r="M16" s="3" t="n"/>
    </row>
    <row r="17">
      <c r="A17" s="6" t="inlineStr">
        <is>
          <t>CAT-01</t>
        </is>
      </c>
      <c r="B17" s="3" t="inlineStr">
        <is>
          <t>3. Clubs, Teams, Players &amp; Venues (catalogue)</t>
        </is>
      </c>
      <c r="C17" s="3" t="inlineStr">
        <is>
          <t>Platform admin</t>
        </is>
      </c>
      <c r="D17" s="3" t="inlineStr">
        <is>
          <t>Admin creates a club</t>
        </is>
      </c>
      <c r="E17" s="3" t="inlineStr">
        <is>
          <t>Logged in as admin.</t>
        </is>
      </c>
      <c r="F17" s="3" t="inlineStr">
        <is>
          <t>1. Go to Clubs → Novo clube
2. Fill name (+ crest) and save</t>
        </is>
      </c>
      <c r="G17" s="3" t="inlineStr">
        <is>
          <t>Club is created and appears in the catalogue; visible publicly.</t>
        </is>
      </c>
      <c r="H17" s="6" t="inlineStr">
        <is>
          <t>P0</t>
        </is>
      </c>
      <c r="I17" s="6" t="inlineStr">
        <is>
          <t>N</t>
        </is>
      </c>
      <c r="J17" s="3" t="n"/>
      <c r="K17" s="3" t="n"/>
      <c r="L17" s="3" t="n"/>
      <c r="M17" s="3" t="n"/>
    </row>
    <row r="18">
      <c r="A18" s="6" t="inlineStr">
        <is>
          <t>CAT-02</t>
        </is>
      </c>
      <c r="B18" s="3" t="inlineStr">
        <is>
          <t>3. Clubs, Teams, Players &amp; Venues (catalogue)</t>
        </is>
      </c>
      <c r="C18" s="3" t="inlineStr">
        <is>
          <t>Platform admin</t>
        </is>
      </c>
      <c r="D18" s="3" t="inlineStr">
        <is>
          <t>Admin creates a venue/stadium</t>
        </is>
      </c>
      <c r="E18" s="3" t="inlineStr">
        <is>
          <t>Logged in as admin.</t>
        </is>
      </c>
      <c r="F18" s="3" t="inlineStr">
        <is>
          <t>1. Go to Venues → Novo
2. Fill name, capacity, address and save</t>
        </is>
      </c>
      <c r="G18" s="3" t="inlineStr">
        <is>
          <t>Venue is created and selectable when creating a match.</t>
        </is>
      </c>
      <c r="H18" s="6" t="inlineStr">
        <is>
          <t>P1</t>
        </is>
      </c>
      <c r="I18" s="6" t="inlineStr">
        <is>
          <t>N</t>
        </is>
      </c>
      <c r="J18" s="3" t="n"/>
      <c r="K18" s="3" t="n"/>
      <c r="L18" s="3" t="n"/>
      <c r="M18" s="3" t="n"/>
    </row>
    <row r="19">
      <c r="A19" s="6" t="inlineStr">
        <is>
          <t>CAT-03</t>
        </is>
      </c>
      <c r="B19" s="3" t="inlineStr">
        <is>
          <t>3. Clubs, Teams, Players &amp; Venues (catalogue)</t>
        </is>
      </c>
      <c r="C19" s="3" t="inlineStr">
        <is>
          <t>Club manager</t>
        </is>
      </c>
      <c r="D19" s="3" t="inlineStr">
        <is>
          <t>Manager adds a team to their own club</t>
        </is>
      </c>
      <c r="E19" s="3" t="inlineStr">
        <is>
          <t>gestor manages club X.</t>
        </is>
      </c>
      <c r="F19" s="3" t="inlineStr">
        <is>
          <t>1. Open club X → Equipas → add a team
2. Save</t>
        </is>
      </c>
      <c r="G19" s="3" t="inlineStr">
        <is>
          <t>Team is created under club X.</t>
        </is>
      </c>
      <c r="H19" s="6" t="inlineStr">
        <is>
          <t>P0</t>
        </is>
      </c>
      <c r="I19" s="6" t="inlineStr">
        <is>
          <t>N</t>
        </is>
      </c>
      <c r="J19" s="3" t="n"/>
      <c r="K19" s="3" t="n"/>
      <c r="L19" s="3" t="n"/>
      <c r="M19" s="3" t="n"/>
    </row>
    <row r="20">
      <c r="A20" s="6" t="inlineStr">
        <is>
          <t>CAT-04</t>
        </is>
      </c>
      <c r="B20" s="3" t="inlineStr">
        <is>
          <t>3. Clubs, Teams, Players &amp; Venues (catalogue)</t>
        </is>
      </c>
      <c r="C20" s="3" t="inlineStr">
        <is>
          <t>Club manager</t>
        </is>
      </c>
      <c r="D20" s="3" t="inlineStr">
        <is>
          <t>Manager adds players to their own club's team</t>
        </is>
      </c>
      <c r="E20" s="3" t="inlineStr">
        <is>
          <t>Team of club X exists.</t>
        </is>
      </c>
      <c r="F20" s="3" t="inlineStr">
        <is>
          <t>1. Open the team → Jogadores → add players (name, number, position)
2. Save</t>
        </is>
      </c>
      <c r="G20" s="3" t="inlineStr">
        <is>
          <t>Players are added and shown on the team roster (used later in the match sheet lineup).</t>
        </is>
      </c>
      <c r="H20" s="6" t="inlineStr">
        <is>
          <t>P0</t>
        </is>
      </c>
      <c r="I20" s="6" t="inlineStr">
        <is>
          <t>N</t>
        </is>
      </c>
      <c r="J20" s="3" t="n"/>
      <c r="K20" s="3" t="n"/>
      <c r="L20" s="3" t="n"/>
      <c r="M20" s="3" t="n"/>
    </row>
    <row r="21">
      <c r="A21" s="6" t="inlineStr">
        <is>
          <t>CAT-05</t>
        </is>
      </c>
      <c r="B21" s="3" t="inlineStr">
        <is>
          <t>3. Clubs, Teams, Players &amp; Venues (catalogue)</t>
        </is>
      </c>
      <c r="C21" s="3" t="inlineStr">
        <is>
          <t>Club manager</t>
        </is>
      </c>
      <c r="D21" s="3" t="inlineStr">
        <is>
          <t>Manager cannot add a team/player to another club (403)</t>
        </is>
      </c>
      <c r="E21" s="3" t="inlineStr">
        <is>
          <t>gestor manages club X; club Y exists.</t>
        </is>
      </c>
      <c r="F21" s="3" t="inlineStr">
        <is>
          <t>1. Attempt to add a team/player to club Y</t>
        </is>
      </c>
      <c r="G21" s="3" t="inlineStr">
        <is>
          <t>Refused with 403; nothing persists.</t>
        </is>
      </c>
      <c r="H21" s="6" t="inlineStr">
        <is>
          <t>P0</t>
        </is>
      </c>
      <c r="I21" s="6" t="inlineStr">
        <is>
          <t>Y</t>
        </is>
      </c>
      <c r="J21" s="3" t="n"/>
      <c r="K21" s="3" t="n"/>
      <c r="L21" s="3" t="n"/>
      <c r="M21" s="3" t="n"/>
    </row>
    <row r="22">
      <c r="A22" s="6" t="inlineStr">
        <is>
          <t>CAT-06</t>
        </is>
      </c>
      <c r="B22" s="3" t="inlineStr">
        <is>
          <t>3. Clubs, Teams, Players &amp; Venues (catalogue)</t>
        </is>
      </c>
      <c r="C22" s="3" t="inlineStr">
        <is>
          <t>Anonymous visitor</t>
        </is>
      </c>
      <c r="D22" s="3" t="inlineStr">
        <is>
          <t>Public can browse the clubs catalogue</t>
        </is>
      </c>
      <c r="E22" s="3" t="inlineStr">
        <is>
          <t>At least one club seeded.</t>
        </is>
      </c>
      <c r="F22" s="3" t="inlineStr">
        <is>
          <t>1. Open the public clubs/jogos pages without logging in</t>
        </is>
      </c>
      <c r="G22" s="3" t="inlineStr">
        <is>
          <t>Clubs and public info render for anonymous users; no auth prompt for read-only browsing.</t>
        </is>
      </c>
      <c r="H22" s="6" t="inlineStr">
        <is>
          <t>P1</t>
        </is>
      </c>
      <c r="I22" s="6" t="inlineStr">
        <is>
          <t>N</t>
        </is>
      </c>
      <c r="J22" s="3" t="n"/>
      <c r="K22" s="3" t="n"/>
      <c r="L22" s="3" t="n"/>
      <c r="M22" s="3" t="n"/>
    </row>
    <row r="23">
      <c r="A23" s="6" t="inlineStr">
        <is>
          <t>CAT-07</t>
        </is>
      </c>
      <c r="B23" s="3" t="inlineStr">
        <is>
          <t>3. Clubs, Teams, Players &amp; Venues (catalogue)</t>
        </is>
      </c>
      <c r="C23" s="3" t="inlineStr">
        <is>
          <t>Any user</t>
        </is>
      </c>
      <c r="D23" s="3" t="inlineStr">
        <is>
          <t>Crests and player photos render</t>
        </is>
      </c>
      <c r="E23" s="3" t="inlineStr">
        <is>
          <t>A club with a crest and players with photos.</t>
        </is>
      </c>
      <c r="F23" s="3" t="inlineStr">
        <is>
          <t>1. Open the club/team pages</t>
        </is>
      </c>
      <c r="G23" s="3" t="inlineStr">
        <is>
          <t>Crest and player images load (or a clean placeholder when absent); no broken image.</t>
        </is>
      </c>
      <c r="H23" s="6" t="inlineStr">
        <is>
          <t>P2</t>
        </is>
      </c>
      <c r="I23" s="6" t="inlineStr">
        <is>
          <t>N</t>
        </is>
      </c>
      <c r="J23" s="3" t="n"/>
      <c r="K23" s="3" t="n"/>
      <c r="L23" s="3" t="n"/>
      <c r="M23" s="3" t="n"/>
    </row>
    <row r="24">
      <c r="A24" s="6" t="inlineStr">
        <is>
          <t>CAT-08</t>
        </is>
      </c>
      <c r="B24" s="3" t="inlineStr">
        <is>
          <t>3. Clubs, Teams, Players &amp; Venues (catalogue)</t>
        </is>
      </c>
      <c r="C24" s="3" t="inlineStr">
        <is>
          <t>Platform admin</t>
        </is>
      </c>
      <c r="D24" s="3" t="inlineStr">
        <is>
          <t>Admin edits and deletes catalogue entities</t>
        </is>
      </c>
      <c r="E24" s="3" t="inlineStr">
        <is>
          <t>A club/venue exists.</t>
        </is>
      </c>
      <c r="F24" s="3" t="inlineStr">
        <is>
          <t>1. Edit a club/venue and save
2. Delete a disposable one</t>
        </is>
      </c>
      <c r="G24" s="3" t="inlineStr">
        <is>
          <t>Edits persist; delete removes it (and dependent UI updates). Referential rules respected.</t>
        </is>
      </c>
      <c r="H24" s="6" t="inlineStr">
        <is>
          <t>P1</t>
        </is>
      </c>
      <c r="I24" s="6" t="inlineStr">
        <is>
          <t>N</t>
        </is>
      </c>
      <c r="J24" s="3" t="n"/>
      <c r="K24" s="3" t="n"/>
      <c r="L24" s="3" t="n"/>
      <c r="M24" s="3" t="n"/>
    </row>
    <row r="25">
      <c r="A25" s="6" t="inlineStr">
        <is>
          <t>MATCH-01</t>
        </is>
      </c>
      <c r="B25" s="3" t="inlineStr">
        <is>
          <t>4. Matches (fixtures)</t>
        </is>
      </c>
      <c r="C25" s="3" t="inlineStr">
        <is>
          <t>Admin / club manager</t>
        </is>
      </c>
      <c r="D25" s="3" t="inlineStr">
        <is>
          <t>Create a match (home/away, venue, kickoff)</t>
        </is>
      </c>
      <c r="E25" s="3" t="inlineStr">
        <is>
          <t>Two clubs + a venue exist.</t>
        </is>
      </c>
      <c r="F25" s="3" t="inlineStr">
        <is>
          <t>1. Matches → Novo jogo
2. Pick home &amp; away clubs, venue, date/time; save</t>
        </is>
      </c>
      <c r="G25" s="3" t="inlineStr">
        <is>
          <t>Match is created with status scheduled and appears in the fixtures list.</t>
        </is>
      </c>
      <c r="H25" s="6" t="inlineStr">
        <is>
          <t>P0</t>
        </is>
      </c>
      <c r="I25" s="6" t="inlineStr">
        <is>
          <t>N</t>
        </is>
      </c>
      <c r="J25" s="3" t="n"/>
      <c r="K25" s="3" t="n"/>
      <c r="L25" s="3" t="n"/>
      <c r="M25" s="3" t="n"/>
    </row>
    <row r="26">
      <c r="A26" s="6" t="inlineStr">
        <is>
          <t>MATCH-02</t>
        </is>
      </c>
      <c r="B26" s="3" t="inlineStr">
        <is>
          <t>4. Matches (fixtures)</t>
        </is>
      </c>
      <c r="C26" s="3" t="inlineStr">
        <is>
          <t>Club manager</t>
        </is>
      </c>
      <c r="D26" s="3" t="inlineStr">
        <is>
          <t>Manager can only create/edit matches for their own home club</t>
        </is>
      </c>
      <c r="E26" s="3" t="inlineStr">
        <is>
          <t>gestor manages club X.</t>
        </is>
      </c>
      <c r="F26" s="3" t="inlineStr">
        <is>
          <t>1. Try to create/edit a match whose home club is Y (not managed)</t>
        </is>
      </c>
      <c r="G26" s="3" t="inlineStr">
        <is>
          <t>Refused with 403; creating with home club X succeeds. Enforced server-side.</t>
        </is>
      </c>
      <c r="H26" s="6" t="inlineStr">
        <is>
          <t>P0</t>
        </is>
      </c>
      <c r="I26" s="6" t="inlineStr">
        <is>
          <t>Y</t>
        </is>
      </c>
      <c r="J26" s="3" t="n"/>
      <c r="K26" s="3" t="n"/>
      <c r="L26" s="3" t="n"/>
      <c r="M26" s="3" t="n"/>
    </row>
    <row r="27">
      <c r="A27" s="6" t="inlineStr">
        <is>
          <t>MATCH-03</t>
        </is>
      </c>
      <c r="B27" s="3" t="inlineStr">
        <is>
          <t>4. Matches (fixtures)</t>
        </is>
      </c>
      <c r="C27" s="3" t="inlineStr">
        <is>
          <t>Admin / manager</t>
        </is>
      </c>
      <c r="D27" s="3" t="inlineStr">
        <is>
          <t>Edit a match (reschedule / change venue)</t>
        </is>
      </c>
      <c r="E27" s="3" t="inlineStr">
        <is>
          <t>A scheduled match exists.</t>
        </is>
      </c>
      <c r="F27" s="3" t="inlineStr">
        <is>
          <t>1. Open the match → edit kickoff/venue → save</t>
        </is>
      </c>
      <c r="G27" s="3" t="inlineStr">
        <is>
          <t>Changes persist and reflect in the public detail + any open box office.</t>
        </is>
      </c>
      <c r="H27" s="6" t="inlineStr">
        <is>
          <t>P1</t>
        </is>
      </c>
      <c r="I27" s="6" t="inlineStr">
        <is>
          <t>N</t>
        </is>
      </c>
      <c r="J27" s="3" t="n"/>
      <c r="K27" s="3" t="n"/>
      <c r="L27" s="3" t="n"/>
      <c r="M27" s="3" t="n"/>
    </row>
    <row r="28">
      <c r="A28" s="6" t="inlineStr">
        <is>
          <t>MATCH-04</t>
        </is>
      </c>
      <c r="B28" s="3" t="inlineStr">
        <is>
          <t>4. Matches (fixtures)</t>
        </is>
      </c>
      <c r="C28" s="3" t="inlineStr">
        <is>
          <t>Admin / manager</t>
        </is>
      </c>
      <c r="D28" s="3" t="inlineStr">
        <is>
          <t>Cancel a match sets status CANCELLED</t>
        </is>
      </c>
      <c r="E28" s="3" t="inlineStr">
        <is>
          <t>A scheduled match with (optionally) a box office/tickets.</t>
        </is>
      </c>
      <c r="F28" s="3" t="inlineStr">
        <is>
          <t>1. Open the match → Cancelar</t>
        </is>
      </c>
      <c r="G28" s="3" t="inlineStr">
        <is>
          <t>Status becomes CANCELLED; the box office closes; existing tickets show 'Jogo cancelado' but keep team names (see BUY-05).</t>
        </is>
      </c>
      <c r="H28" s="6" t="inlineStr">
        <is>
          <t>P1</t>
        </is>
      </c>
      <c r="I28" s="6" t="inlineStr">
        <is>
          <t>N</t>
        </is>
      </c>
      <c r="J28" s="3" t="n"/>
      <c r="K28" s="3" t="n"/>
      <c r="L28" s="3" t="n"/>
      <c r="M28" s="3" t="n"/>
    </row>
    <row r="29">
      <c r="A29" s="6" t="inlineStr">
        <is>
          <t>MATCH-05</t>
        </is>
      </c>
      <c r="B29" s="3" t="inlineStr">
        <is>
          <t>4. Matches (fixtures)</t>
        </is>
      </c>
      <c r="C29" s="3" t="inlineStr">
        <is>
          <t>Any user</t>
        </is>
      </c>
      <c r="D29" s="3" t="inlineStr">
        <is>
          <t>Match statuses are reflected in the UI</t>
        </is>
      </c>
      <c r="E29" s="3" t="inlineStr">
        <is>
          <t>Matches in different states (scheduled / finished / cancelled).</t>
        </is>
      </c>
      <c r="F29" s="3" t="inlineStr">
        <is>
          <t>1. Browse fixtures across states</t>
        </is>
      </c>
      <c r="G29" s="3" t="inlineStr">
        <is>
          <t>Scheduled, finished and cancelled states render with the right labels/badges; finished shows the result.</t>
        </is>
      </c>
      <c r="H29" s="6" t="inlineStr">
        <is>
          <t>P1</t>
        </is>
      </c>
      <c r="I29" s="6" t="inlineStr">
        <is>
          <t>N</t>
        </is>
      </c>
      <c r="J29" s="3" t="n"/>
      <c r="K29" s="3" t="n"/>
      <c r="L29" s="3" t="n"/>
      <c r="M29" s="3" t="n"/>
    </row>
    <row r="30">
      <c r="A30" s="6" t="inlineStr">
        <is>
          <t>MATCH-06</t>
        </is>
      </c>
      <c r="B30" s="3" t="inlineStr">
        <is>
          <t>4. Matches (fixtures)</t>
        </is>
      </c>
      <c r="C30" s="3" t="inlineStr">
        <is>
          <t>Anonymous visitor</t>
        </is>
      </c>
      <c r="D30" s="3" t="inlineStr">
        <is>
          <t>Public match list + detail</t>
        </is>
      </c>
      <c r="E30" s="3" t="inlineStr">
        <is>
          <t>Matches seeded.</t>
        </is>
      </c>
      <c r="F30" s="3" t="inlineStr">
        <is>
          <t>1. Open Jogos and a match detail page without logging in</t>
        </is>
      </c>
      <c r="G30" s="3" t="inlineStr">
        <is>
          <t>List with tabs Todos / Por jogar / Terminados; detail shows teams, venue, kickoff (and result/sheet if published).</t>
        </is>
      </c>
      <c r="H30" s="6" t="inlineStr">
        <is>
          <t>P1</t>
        </is>
      </c>
      <c r="I30" s="6" t="inlineStr">
        <is>
          <t>N</t>
        </is>
      </c>
      <c r="J30" s="3" t="n"/>
      <c r="K30" s="3" t="n"/>
      <c r="L30" s="3" t="n"/>
      <c r="M30" s="3" t="n"/>
    </row>
    <row r="31">
      <c r="A31" s="6" t="inlineStr">
        <is>
          <t>SHEET-01</t>
        </is>
      </c>
      <c r="B31" s="3" t="inlineStr">
        <is>
          <t>5. Match Sheet / Ficha Técnica (editor + public viewer)</t>
        </is>
      </c>
      <c r="C31" s="3" t="inlineStr">
        <is>
          <t>Staff / manager</t>
        </is>
      </c>
      <c r="D31" s="3" t="inlineStr">
        <is>
          <t>Fill the lineup for a match</t>
        </is>
      </c>
      <c r="E31" s="3" t="inlineStr">
        <is>
          <t>A match exists; both clubs have players.</t>
        </is>
      </c>
      <c r="F31" s="3" t="inlineStr">
        <is>
          <t>1. Open the match-sheet editor
2. Select the starting XI + subs for each team; save</t>
        </is>
      </c>
      <c r="G31" s="3" t="inlineStr">
        <is>
          <t>Lineup persists and is retrievable on re-open.</t>
        </is>
      </c>
      <c r="H31" s="6" t="inlineStr">
        <is>
          <t>P0</t>
        </is>
      </c>
      <c r="I31" s="6" t="inlineStr">
        <is>
          <t>N</t>
        </is>
      </c>
      <c r="J31" s="3" t="n"/>
      <c r="K31" s="3" t="n"/>
      <c r="L31" s="3" t="n"/>
      <c r="M31" s="3" t="n"/>
    </row>
    <row r="32">
      <c r="A32" s="6" t="inlineStr">
        <is>
          <t>SHEET-02</t>
        </is>
      </c>
      <c r="B32" s="3" t="inlineStr">
        <is>
          <t>5. Match Sheet / Ficha Técnica (editor + public viewer)</t>
        </is>
      </c>
      <c r="C32" s="3" t="inlineStr">
        <is>
          <t>Staff / manager</t>
        </is>
      </c>
      <c r="D32" s="3" t="inlineStr">
        <is>
          <t>Add occurrences (goals, yellow/red cards)</t>
        </is>
      </c>
      <c r="E32" s="3" t="inlineStr">
        <is>
          <t>Lineup filled.</t>
        </is>
      </c>
      <c r="F32" s="3" t="inlineStr">
        <is>
          <t>1. Add goal / yellow / red occurrences with player + minute
2. Save</t>
        </is>
      </c>
      <c r="G32" s="3" t="inlineStr">
        <is>
          <t>Occurrences persist with player name and minute; goals contribute to the tallied score.</t>
        </is>
      </c>
      <c r="H32" s="6" t="inlineStr">
        <is>
          <t>P0</t>
        </is>
      </c>
      <c r="I32" s="6" t="inlineStr">
        <is>
          <t>N</t>
        </is>
      </c>
      <c r="J32" s="3" t="n"/>
      <c r="K32" s="3" t="n"/>
      <c r="L32" s="3" t="n"/>
      <c r="M32" s="3" t="n"/>
    </row>
    <row r="33">
      <c r="A33" s="6" t="inlineStr">
        <is>
          <t>SHEET-03</t>
        </is>
      </c>
      <c r="B33" s="3" t="inlineStr">
        <is>
          <t>5. Match Sheet / Ficha Técnica (editor + public viewer)</t>
        </is>
      </c>
      <c r="C33" s="3" t="inlineStr">
        <is>
          <t>Staff / manager</t>
        </is>
      </c>
      <c r="D33" s="3" t="inlineStr">
        <is>
          <t>Lock (publish) the match sheet</t>
        </is>
      </c>
      <c r="E33" s="3" t="inlineStr">
        <is>
          <t>Sheet filled.</t>
        </is>
      </c>
      <c r="F33" s="3" t="inlineStr">
        <is>
          <t>1. Click Bloquear/Publicar</t>
        </is>
      </c>
      <c r="G33" s="3" t="inlineStr">
        <is>
          <t>Sheet becomes read-only; the public viewer on the event page now shows it; a stats snapshot is produced.</t>
        </is>
      </c>
      <c r="H33" s="6" t="inlineStr">
        <is>
          <t>P0</t>
        </is>
      </c>
      <c r="I33" s="6" t="inlineStr">
        <is>
          <t>N</t>
        </is>
      </c>
      <c r="J33" s="3" t="n"/>
      <c r="K33" s="3" t="n"/>
      <c r="L33" s="3" t="n"/>
      <c r="M33" s="3" t="n"/>
    </row>
    <row r="34">
      <c r="A34" s="6" t="inlineStr">
        <is>
          <t>SHEET-04</t>
        </is>
      </c>
      <c r="B34" s="3" t="inlineStr">
        <is>
          <t>5. Match Sheet / Ficha Técnica (editor + public viewer)</t>
        </is>
      </c>
      <c r="C34" s="3" t="inlineStr">
        <is>
          <t>Staff / manager</t>
        </is>
      </c>
      <c r="D34" s="3" t="inlineStr">
        <is>
          <t>Unlock reopens editing and invalidates the snapshot</t>
        </is>
      </c>
      <c r="E34" s="3" t="inlineStr">
        <is>
          <t>A locked sheet.</t>
        </is>
      </c>
      <c r="F34" s="3" t="inlineStr">
        <is>
          <t>1. Click Desbloquear
2. Edit an occurrence; re-lock</t>
        </is>
      </c>
      <c r="G34" s="3" t="inlineStr">
        <is>
          <t>Editing is re-enabled; the previous stats snapshot is invalidated (match.sheet.reopened event deletes it) and rebuilt on re-lock.</t>
        </is>
      </c>
      <c r="H34" s="6" t="inlineStr">
        <is>
          <t>P1</t>
        </is>
      </c>
      <c r="I34" s="6" t="inlineStr">
        <is>
          <t>N</t>
        </is>
      </c>
      <c r="J34" s="3" t="n"/>
      <c r="K34" s="3" t="n"/>
      <c r="L34" s="3" t="n"/>
      <c r="M34" s="3" t="n"/>
    </row>
    <row r="35">
      <c r="A35" s="6" t="inlineStr">
        <is>
          <t>SHEET-05</t>
        </is>
      </c>
      <c r="B35" s="3" t="inlineStr">
        <is>
          <t>5. Match Sheet / Ficha Técnica (editor + public viewer)</t>
        </is>
      </c>
      <c r="C35" s="3" t="inlineStr">
        <is>
          <t>Anonymous / fan</t>
        </is>
      </c>
      <c r="D35" s="3" t="inlineStr">
        <is>
          <t>Public viewer shows lineup + goals/cards timeline</t>
        </is>
      </c>
      <c r="E35" s="3" t="inlineStr">
        <is>
          <t>A locked sheet.</t>
        </is>
      </c>
      <c r="F35" s="3" t="inlineStr">
        <is>
          <t>1. Open the event/match detail page</t>
        </is>
      </c>
      <c r="G35" s="3" t="inlineStr">
        <is>
          <t>Viewer renders lineups and a timeline of goals/cards with player names; hidden while the sheet is unpublished.</t>
        </is>
      </c>
      <c r="H35" s="6" t="inlineStr">
        <is>
          <t>P1</t>
        </is>
      </c>
      <c r="I35" s="6" t="inlineStr">
        <is>
          <t>N</t>
        </is>
      </c>
      <c r="J35" s="3" t="n"/>
      <c r="K35" s="3" t="n"/>
      <c r="L35" s="3" t="n"/>
      <c r="M35" s="3" t="n"/>
    </row>
    <row r="36">
      <c r="A36" s="6" t="inlineStr">
        <is>
          <t>SHEET-06</t>
        </is>
      </c>
      <c r="B36" s="3" t="inlineStr">
        <is>
          <t>5. Match Sheet / Ficha Técnica (editor + public viewer)</t>
        </is>
      </c>
      <c r="C36" s="3" t="inlineStr">
        <is>
          <t>Staff / manager</t>
        </is>
      </c>
      <c r="D36" s="3" t="inlineStr">
        <is>
          <t>Score-vs-sheet mismatch shows a warning (not a block)</t>
        </is>
      </c>
      <c r="E36" s="3" t="inlineStr">
        <is>
          <t>A match with an official score set (e.g. 3–1) but sheet goals not matching.</t>
        </is>
      </c>
      <c r="F36" s="3" t="inlineStr">
        <is>
          <t>1. Set/have a final score that differs from the summed goal occurrences
2. Open the editor</t>
        </is>
      </c>
      <c r="G36" s="3" t="inlineStr">
        <is>
          <t>A non-blocking warning banner flags the mismatch; the user can still save/lock (warn, don't block).</t>
        </is>
      </c>
      <c r="H36" s="6" t="inlineStr">
        <is>
          <t>P1</t>
        </is>
      </c>
      <c r="I36" s="6" t="inlineStr">
        <is>
          <t>N</t>
        </is>
      </c>
      <c r="J36" s="3" t="n"/>
      <c r="K36" s="3" t="n"/>
      <c r="L36" s="3" t="n"/>
      <c r="M36" s="3" t="n"/>
    </row>
    <row r="37">
      <c r="A37" s="6" t="inlineStr">
        <is>
          <t>SHEET-07</t>
        </is>
      </c>
      <c r="B37" s="3" t="inlineStr">
        <is>
          <t>5. Match Sheet / Ficha Técnica (editor + public viewer)</t>
        </is>
      </c>
      <c r="C37" s="3" t="inlineStr">
        <is>
          <t>Staff / manager</t>
        </is>
      </c>
      <c r="D37" s="3" t="inlineStr">
        <is>
          <t>No false mismatch when score matches goals</t>
        </is>
      </c>
      <c r="E37" s="3" t="inlineStr">
        <is>
          <t>Score 2–1 and exactly 2+1 goal occurrences.</t>
        </is>
      </c>
      <c r="F37" s="3" t="inlineStr">
        <is>
          <t>1. Open the editor</t>
        </is>
      </c>
      <c r="G37" s="3" t="inlineStr">
        <is>
          <t>No mismatch banner is shown.</t>
        </is>
      </c>
      <c r="H37" s="6" t="inlineStr">
        <is>
          <t>P1</t>
        </is>
      </c>
      <c r="I37" s="6" t="inlineStr">
        <is>
          <t>N</t>
        </is>
      </c>
      <c r="J37" s="3" t="n"/>
      <c r="K37" s="3" t="n"/>
      <c r="L37" s="3" t="n"/>
      <c r="M37" s="3" t="n"/>
    </row>
    <row r="38">
      <c r="A38" s="6" t="inlineStr">
        <is>
          <t>SHEET-08</t>
        </is>
      </c>
      <c r="B38" s="3" t="inlineStr">
        <is>
          <t>5. Match Sheet / Ficha Técnica (editor + public viewer)</t>
        </is>
      </c>
      <c r="C38" s="3" t="inlineStr">
        <is>
          <t>Fan / other club</t>
        </is>
      </c>
      <c r="D38" s="3" t="inlineStr">
        <is>
          <t>Only admin/manager/staff of the club can edit the sheet</t>
        </is>
      </c>
      <c r="E38" s="3" t="inlineStr">
        <is>
          <t>A fan and a staff/manager of a different club.</t>
        </is>
      </c>
      <c r="F38" s="3" t="inlineStr">
        <is>
          <t>1. Attempt to open/save the editor as a fan and as staff of another club</t>
        </is>
      </c>
      <c r="G38" s="3" t="inlineStr">
        <is>
          <t>Refused with 403; a friendly forbidden panel is shown in the UI. Enforced server-side.</t>
        </is>
      </c>
      <c r="H38" s="6" t="inlineStr">
        <is>
          <t>P0</t>
        </is>
      </c>
      <c r="I38" s="6" t="inlineStr">
        <is>
          <t>Y</t>
        </is>
      </c>
      <c r="J38" s="3" t="n"/>
      <c r="K38" s="3" t="n"/>
      <c r="L38" s="3" t="n"/>
      <c r="M38" s="3" t="n"/>
    </row>
    <row r="39">
      <c r="A39" s="6" t="inlineStr">
        <is>
          <t>BOX-01</t>
        </is>
      </c>
      <c r="B39" s="3" t="inlineStr">
        <is>
          <t>6. Box Office &amp; Events</t>
        </is>
      </c>
      <c r="C39" s="3" t="inlineStr">
        <is>
          <t>Club manager</t>
        </is>
      </c>
      <c r="D39" s="3" t="inlineStr">
        <is>
          <t>Open a box office for own home club's match</t>
        </is>
      </c>
      <c r="E39" s="3" t="inlineStr">
        <is>
          <t>gestor manages the home club of a scheduled match.</t>
        </is>
      </c>
      <c r="F39" s="3" t="inlineStr">
        <is>
          <t>1. Open the match → Abrir bilheteira
2. Set price/capacity; confirm</t>
        </is>
      </c>
      <c r="G39" s="3" t="inlineStr">
        <is>
          <t>Box office (Event) opens; a homeClubId snapshot is stored; the match becomes buyable.</t>
        </is>
      </c>
      <c r="H39" s="6" t="inlineStr">
        <is>
          <t>P0</t>
        </is>
      </c>
      <c r="I39" s="6" t="inlineStr">
        <is>
          <t>N</t>
        </is>
      </c>
      <c r="J39" s="3" t="n"/>
      <c r="K39" s="3" t="n"/>
      <c r="L39" s="3" t="n"/>
      <c r="M39" s="3" t="n"/>
    </row>
    <row r="40">
      <c r="A40" s="6" t="inlineStr">
        <is>
          <t>BOX-02</t>
        </is>
      </c>
      <c r="B40" s="3" t="inlineStr">
        <is>
          <t>6. Box Office &amp; Events</t>
        </is>
      </c>
      <c r="C40" s="3" t="inlineStr">
        <is>
          <t>Club manager</t>
        </is>
      </c>
      <c r="D40" s="3" t="inlineStr">
        <is>
          <t>Cannot open a box office for a finished/cancelled match (409)</t>
        </is>
      </c>
      <c r="E40" s="3" t="inlineStr">
        <is>
          <t>A FINISHED or CANCELLED match.</t>
        </is>
      </c>
      <c r="F40" s="3" t="inlineStr">
        <is>
          <t>1. Attempt to open a box office for it</t>
        </is>
      </c>
      <c r="G40" s="3" t="inlineStr">
        <is>
          <t>Refused with 409 (sale closed) — MatchAvailability blocks CANCELLED/FINISHED/ABANDONED. Enforced server-side.</t>
        </is>
      </c>
      <c r="H40" s="6" t="inlineStr">
        <is>
          <t>P0</t>
        </is>
      </c>
      <c r="I40" s="6" t="inlineStr">
        <is>
          <t>Y</t>
        </is>
      </c>
      <c r="J40" s="3" t="n"/>
      <c r="K40" s="3" t="n"/>
      <c r="L40" s="3" t="n"/>
      <c r="M40" s="3" t="n"/>
    </row>
    <row r="41">
      <c r="A41" s="6" t="inlineStr">
        <is>
          <t>BOX-03</t>
        </is>
      </c>
      <c r="B41" s="3" t="inlineStr">
        <is>
          <t>6. Box Office &amp; Events</t>
        </is>
      </c>
      <c r="C41" s="3" t="inlineStr">
        <is>
          <t>Club manager</t>
        </is>
      </c>
      <c r="D41" s="3" t="inlineStr">
        <is>
          <t>Cannot open a box office for another club's match (403)</t>
        </is>
      </c>
      <c r="E41" s="3" t="inlineStr">
        <is>
          <t>gestor manages club X; a match with home club Y.</t>
        </is>
      </c>
      <c r="F41" s="3" t="inlineStr">
        <is>
          <t>1. Attempt to open a box office for the club-Y match</t>
        </is>
      </c>
      <c r="G41" s="3" t="inlineStr">
        <is>
          <t>Refused with 403.</t>
        </is>
      </c>
      <c r="H41" s="6" t="inlineStr">
        <is>
          <t>P0</t>
        </is>
      </c>
      <c r="I41" s="6" t="inlineStr">
        <is>
          <t>Y</t>
        </is>
      </c>
      <c r="J41" s="3" t="n"/>
      <c r="K41" s="3" t="n"/>
      <c r="L41" s="3" t="n"/>
      <c r="M41" s="3" t="n"/>
    </row>
    <row r="42">
      <c r="A42" s="6" t="inlineStr">
        <is>
          <t>BOX-04</t>
        </is>
      </c>
      <c r="B42" s="3" t="inlineStr">
        <is>
          <t>6. Box Office &amp; Events</t>
        </is>
      </c>
      <c r="C42" s="3" t="inlineStr">
        <is>
          <t>Any user</t>
        </is>
      </c>
      <c r="D42" s="3" t="inlineStr">
        <is>
          <t>Events list CTA + tabs</t>
        </is>
      </c>
      <c r="E42" s="3" t="inlineStr">
        <is>
          <t>Matches with and without an open box office.</t>
        </is>
      </c>
      <c r="F42" s="3" t="inlineStr">
        <is>
          <t>1. Open the Jogos page</t>
        </is>
      </c>
      <c r="G42" s="3" t="inlineStr">
        <is>
          <t>Cards show a neutral 'Ver detalhes' CTA (box office may be closed); tabs Todos / Por jogar / Terminados filter correctly.</t>
        </is>
      </c>
      <c r="H42" s="6" t="inlineStr">
        <is>
          <t>P1</t>
        </is>
      </c>
      <c r="I42" s="6" t="inlineStr">
        <is>
          <t>N</t>
        </is>
      </c>
      <c r="J42" s="3" t="n"/>
      <c r="K42" s="3" t="n"/>
      <c r="L42" s="3" t="n"/>
      <c r="M42" s="3" t="n"/>
    </row>
    <row r="43">
      <c r="A43" s="6" t="inlineStr">
        <is>
          <t>BOX-05</t>
        </is>
      </c>
      <c r="B43" s="3" t="inlineStr">
        <is>
          <t>6. Box Office &amp; Events</t>
        </is>
      </c>
      <c r="C43" s="3" t="inlineStr">
        <is>
          <t>Any user</t>
        </is>
      </c>
      <c r="D43" s="3" t="inlineStr">
        <is>
          <t>Finished match shows the result instead of a price</t>
        </is>
      </c>
      <c r="E43" s="3" t="inlineStr">
        <is>
          <t>A finished match with a published sheet.</t>
        </is>
      </c>
      <c r="F43" s="3" t="inlineStr">
        <is>
          <t>1. View the finished match card</t>
        </is>
      </c>
      <c r="G43" s="3" t="inlineStr">
        <is>
          <t>Card shows 'Resultado X–Y' instead of 'a partir de €…'.</t>
        </is>
      </c>
      <c r="H43" s="6" t="inlineStr">
        <is>
          <t>P1</t>
        </is>
      </c>
      <c r="I43" s="6" t="inlineStr">
        <is>
          <t>N</t>
        </is>
      </c>
      <c r="J43" s="3" t="n"/>
      <c r="K43" s="3" t="n"/>
      <c r="L43" s="3" t="n"/>
      <c r="M43" s="3" t="n"/>
    </row>
    <row r="44">
      <c r="A44" s="6" t="inlineStr">
        <is>
          <t>BOX-06</t>
        </is>
      </c>
      <c r="B44" s="3" t="inlineStr">
        <is>
          <t>6. Box Office &amp; Events</t>
        </is>
      </c>
      <c r="C44" s="3" t="inlineStr">
        <is>
          <t>Fan</t>
        </is>
      </c>
      <c r="D44" s="3" t="inlineStr">
        <is>
          <t>Availability / sold-out reflected</t>
        </is>
      </c>
      <c r="E44" s="3" t="inlineStr">
        <is>
          <t>A box office near capacity.</t>
        </is>
      </c>
      <c r="F44" s="3" t="inlineStr">
        <is>
          <t>1. View the event as availability drops</t>
        </is>
      </c>
      <c r="G44" s="3" t="inlineStr">
        <is>
          <t>Remaining availability is shown; sold-out disables purchase.</t>
        </is>
      </c>
      <c r="H44" s="6" t="inlineStr">
        <is>
          <t>P2</t>
        </is>
      </c>
      <c r="I44" s="6" t="inlineStr">
        <is>
          <t>N</t>
        </is>
      </c>
      <c r="J44" s="3" t="n"/>
      <c r="K44" s="3" t="n"/>
      <c r="L44" s="3" t="n"/>
      <c r="M44" s="3" t="n"/>
    </row>
    <row r="45">
      <c r="A45" s="6" t="inlineStr">
        <is>
          <t>BUY-01</t>
        </is>
      </c>
      <c r="B45" s="3" t="inlineStr">
        <is>
          <t>7. Ticket Purchase (MB WAY + Stripe)</t>
        </is>
      </c>
      <c r="C45" s="3" t="inlineStr">
        <is>
          <t>Fan</t>
        </is>
      </c>
      <c r="D45" s="3" t="inlineStr">
        <is>
          <t>Buy a ticket via MB WAY (mock)</t>
        </is>
      </c>
      <c r="E45" s="3" t="inlineStr">
        <is>
          <t>Logged in as adepto; an open box office.</t>
        </is>
      </c>
      <c r="F45" s="3" t="inlineStr">
        <is>
          <t>1. Open the event → Comprar
2. Choose MB WAY, confirm the (mock) payment</t>
        </is>
      </c>
      <c r="G45" s="3" t="inlineStr">
        <is>
          <t>On paid confirmation a ticket is issued and appears in 'Os meus bilhetes' with a QR/validation code.</t>
        </is>
      </c>
      <c r="H45" s="6" t="inlineStr">
        <is>
          <t>P0</t>
        </is>
      </c>
      <c r="I45" s="6" t="inlineStr">
        <is>
          <t>N</t>
        </is>
      </c>
      <c r="J45" s="3" t="n"/>
      <c r="K45" s="3" t="n"/>
      <c r="L45" s="3" t="n"/>
      <c r="M45" s="3" t="n"/>
    </row>
    <row r="46">
      <c r="A46" s="6" t="inlineStr">
        <is>
          <t>BUY-02</t>
        </is>
      </c>
      <c r="B46" s="3" t="inlineStr">
        <is>
          <t>7. Ticket Purchase (MB WAY + Stripe)</t>
        </is>
      </c>
      <c r="C46" s="3" t="inlineStr">
        <is>
          <t>Fan</t>
        </is>
      </c>
      <c r="D46" s="3" t="inlineStr">
        <is>
          <t>Buy a ticket via Stripe card (Checkout)</t>
        </is>
      </c>
      <c r="E46" s="3" t="inlineStr">
        <is>
          <t>STRIPE_SECRET_KEY configured; open box office.</t>
        </is>
      </c>
      <c r="F46" s="3" t="inlineStr">
        <is>
          <t>1. Open the event → Comprar → Cartão
2. Complete Stripe Checkout (test card)
3. Get redirected back</t>
        </is>
      </c>
      <c r="G46" s="3" t="inlineStr">
        <is>
          <t>Redirect returns to the event (success URL on the site host); the ticket is issued and listed. (In prod the redirect host is the FQDN, not localhost.)</t>
        </is>
      </c>
      <c r="H46" s="6" t="inlineStr">
        <is>
          <t>P0</t>
        </is>
      </c>
      <c r="I46" s="6" t="inlineStr">
        <is>
          <t>N</t>
        </is>
      </c>
      <c r="J46" s="3" t="n"/>
      <c r="K46" s="3" t="n"/>
      <c r="L46" s="3" t="n"/>
      <c r="M46" s="3" t="n"/>
    </row>
    <row r="47">
      <c r="A47" s="6" t="inlineStr">
        <is>
          <t>BUY-03</t>
        </is>
      </c>
      <c r="B47" s="3" t="inlineStr">
        <is>
          <t>7. Ticket Purchase (MB WAY + Stripe)</t>
        </is>
      </c>
      <c r="C47" s="3" t="inlineStr">
        <is>
          <t>Fan</t>
        </is>
      </c>
      <c r="D47" s="3" t="inlineStr">
        <is>
          <t>No purchase after the match has ended (409)</t>
        </is>
      </c>
      <c r="E47" s="3" t="inlineStr">
        <is>
          <t>A match whose kickoff+duration has passed.</t>
        </is>
      </c>
      <c r="F47" s="3" t="inlineStr">
        <is>
          <t>1. Attempt to buy a ticket for it</t>
        </is>
      </c>
      <c r="G47" s="3" t="inlineStr">
        <is>
          <t>Refused with 409 (sale closed). Enforced server-side.</t>
        </is>
      </c>
      <c r="H47" s="6" t="inlineStr">
        <is>
          <t>P0</t>
        </is>
      </c>
      <c r="I47" s="6" t="inlineStr">
        <is>
          <t>Y</t>
        </is>
      </c>
      <c r="J47" s="3" t="n"/>
      <c r="K47" s="3" t="n"/>
      <c r="L47" s="3" t="n"/>
      <c r="M47" s="3" t="n"/>
    </row>
    <row r="48">
      <c r="A48" s="6" t="inlineStr">
        <is>
          <t>BUY-04</t>
        </is>
      </c>
      <c r="B48" s="3" t="inlineStr">
        <is>
          <t>7. Ticket Purchase (MB WAY + Stripe)</t>
        </is>
      </c>
      <c r="C48" s="3" t="inlineStr">
        <is>
          <t>Anonymous visitor</t>
        </is>
      </c>
      <c r="D48" s="3" t="inlineStr">
        <is>
          <t>Anonymous buy redirects to login</t>
        </is>
      </c>
      <c r="E48" s="3" t="inlineStr">
        <is>
          <t>Open box office; not logged in.</t>
        </is>
      </c>
      <c r="F48" s="3" t="inlineStr">
        <is>
          <t>1. On the event detail, click the buy action while logged out</t>
        </is>
      </c>
      <c r="G48" s="3" t="inlineStr">
        <is>
          <t>Redirected to the Keycloak login rather than proceeding to payment.</t>
        </is>
      </c>
      <c r="H48" s="6" t="inlineStr">
        <is>
          <t>P1</t>
        </is>
      </c>
      <c r="I48" s="6" t="inlineStr">
        <is>
          <t>N</t>
        </is>
      </c>
      <c r="J48" s="3" t="n"/>
      <c r="K48" s="3" t="n"/>
      <c r="L48" s="3" t="n"/>
      <c r="M48" s="3" t="n"/>
    </row>
    <row r="49">
      <c r="A49" s="6" t="inlineStr">
        <is>
          <t>BUY-05</t>
        </is>
      </c>
      <c r="B49" s="3" t="inlineStr">
        <is>
          <t>7. Ticket Purchase (MB WAY + Stripe)</t>
        </is>
      </c>
      <c r="C49" s="3" t="inlineStr">
        <is>
          <t>Fan</t>
        </is>
      </c>
      <c r="D49" s="3" t="inlineStr">
        <is>
          <t>Cancelled-match ticket keeps team names</t>
        </is>
      </c>
      <c r="E49" s="3" t="inlineStr">
        <is>
          <t>A bought ticket whose match is later cancelled.</t>
        </is>
      </c>
      <c r="F49" s="3" t="inlineStr">
        <is>
          <t>1. Cancel the match
2. Open 'Os meus bilhetes'</t>
        </is>
      </c>
      <c r="G49" s="3" t="inlineStr">
        <is>
          <t>The ticket shows a 'Jogo cancelado' state but STILL displays the team names (labels snapshotted on the Event), not blanks.</t>
        </is>
      </c>
      <c r="H49" s="6" t="inlineStr">
        <is>
          <t>P1</t>
        </is>
      </c>
      <c r="I49" s="6" t="inlineStr">
        <is>
          <t>N</t>
        </is>
      </c>
      <c r="J49" s="3" t="n"/>
      <c r="K49" s="3" t="n"/>
      <c r="L49" s="3" t="n"/>
      <c r="M49" s="3" t="n"/>
    </row>
    <row r="50">
      <c r="A50" s="6" t="inlineStr">
        <is>
          <t>BUY-06</t>
        </is>
      </c>
      <c r="B50" s="3" t="inlineStr">
        <is>
          <t>7. Ticket Purchase (MB WAY + Stripe)</t>
        </is>
      </c>
      <c r="C50" s="3" t="inlineStr">
        <is>
          <t>Fan</t>
        </is>
      </c>
      <c r="D50" s="3" t="inlineStr">
        <is>
          <t>Stripe cancel returns to the event</t>
        </is>
      </c>
      <c r="E50" s="3" t="inlineStr">
        <is>
          <t>Stripe enabled.</t>
        </is>
      </c>
      <c r="F50" s="3" t="inlineStr">
        <is>
          <t>1. Start Stripe Checkout and cancel it</t>
        </is>
      </c>
      <c r="G50" s="3" t="inlineStr">
        <is>
          <t>Returns to the event page with a cancelled flag; no ticket issued.</t>
        </is>
      </c>
      <c r="H50" s="6" t="inlineStr">
        <is>
          <t>P2</t>
        </is>
      </c>
      <c r="I50" s="6" t="inlineStr">
        <is>
          <t>N</t>
        </is>
      </c>
      <c r="J50" s="3" t="n"/>
      <c r="K50" s="3" t="n"/>
      <c r="L50" s="3" t="n"/>
      <c r="M50" s="3" t="n"/>
    </row>
    <row r="51">
      <c r="A51" s="6" t="inlineStr">
        <is>
          <t>BUY-07</t>
        </is>
      </c>
      <c r="B51" s="3" t="inlineStr">
        <is>
          <t>7. Ticket Purchase (MB WAY + Stripe)</t>
        </is>
      </c>
      <c r="C51" s="3" t="inlineStr">
        <is>
          <t>Fan</t>
        </is>
      </c>
      <c r="D51" s="3" t="inlineStr">
        <is>
          <t>Capacity / oversell guard</t>
        </is>
      </c>
      <c r="E51" s="3" t="inlineStr">
        <is>
          <t>A box office at capacity.</t>
        </is>
      </c>
      <c r="F51" s="3" t="inlineStr">
        <is>
          <t>1. Attempt to buy beyond capacity</t>
        </is>
      </c>
      <c r="G51" s="3" t="inlineStr">
        <is>
          <t>Purchase is refused once capacity is reached; no oversell.</t>
        </is>
      </c>
      <c r="H51" s="6" t="inlineStr">
        <is>
          <t>P1</t>
        </is>
      </c>
      <c r="I51" s="6" t="inlineStr">
        <is>
          <t>N</t>
        </is>
      </c>
      <c r="J51" s="3" t="n"/>
      <c r="K51" s="3" t="n"/>
      <c r="L51" s="3" t="n"/>
      <c r="M51" s="3" t="n"/>
    </row>
    <row r="52">
      <c r="A52" s="6" t="inlineStr">
        <is>
          <t>VAL-01</t>
        </is>
      </c>
      <c r="B52" s="3" t="inlineStr">
        <is>
          <t>8. Ticket Validation</t>
        </is>
      </c>
      <c r="C52" s="3" t="inlineStr">
        <is>
          <t>Staff</t>
        </is>
      </c>
      <c r="D52" s="3" t="inlineStr">
        <is>
          <t>Validate a valid ticket within the window</t>
        </is>
      </c>
      <c r="E52" s="3" t="inlineStr">
        <is>
          <t>A paid ticket for staff's own club's match; now is within [kickoff-2h, kickoff+2h].</t>
        </is>
      </c>
      <c r="F52" s="3" t="inlineStr">
        <is>
          <t>1. Open validation → scan/enter the ticket code</t>
        </is>
      </c>
      <c r="G52" s="3" t="inlineStr">
        <is>
          <t>Ticket is marked validated; success shown; a validation event updates stats.</t>
        </is>
      </c>
      <c r="H52" s="6" t="inlineStr">
        <is>
          <t>P0</t>
        </is>
      </c>
      <c r="I52" s="6" t="inlineStr">
        <is>
          <t>N</t>
        </is>
      </c>
      <c r="J52" s="3" t="n"/>
      <c r="K52" s="3" t="n"/>
      <c r="L52" s="3" t="n"/>
      <c r="M52" s="3" t="n"/>
    </row>
    <row r="53">
      <c r="A53" s="6" t="inlineStr">
        <is>
          <t>VAL-02</t>
        </is>
      </c>
      <c r="B53" s="3" t="inlineStr">
        <is>
          <t>8. Ticket Validation</t>
        </is>
      </c>
      <c r="C53" s="3" t="inlineStr">
        <is>
          <t>Staff</t>
        </is>
      </c>
      <c r="D53" s="3" t="inlineStr">
        <is>
          <t>Staff cannot validate another club's ticket (403)</t>
        </is>
      </c>
      <c r="E53" s="3" t="inlineStr">
        <is>
          <t>staff belongs to club X; a ticket for a club-Y match.</t>
        </is>
      </c>
      <c r="F53" s="3" t="inlineStr">
        <is>
          <t>1. Attempt to validate the club-Y ticket</t>
        </is>
      </c>
      <c r="G53" s="3" t="inlineStr">
        <is>
          <t>Refused with 403 — staff validate only their own club's tickets. Enforced server-side.</t>
        </is>
      </c>
      <c r="H53" s="6" t="inlineStr">
        <is>
          <t>P0</t>
        </is>
      </c>
      <c r="I53" s="6" t="inlineStr">
        <is>
          <t>Y</t>
        </is>
      </c>
      <c r="J53" s="3" t="n"/>
      <c r="K53" s="3" t="n"/>
      <c r="L53" s="3" t="n"/>
      <c r="M53" s="3" t="n"/>
    </row>
    <row r="54">
      <c r="A54" s="6" t="inlineStr">
        <is>
          <t>VAL-03</t>
        </is>
      </c>
      <c r="B54" s="3" t="inlineStr">
        <is>
          <t>8. Ticket Validation</t>
        </is>
      </c>
      <c r="C54" s="3" t="inlineStr">
        <is>
          <t>Staff</t>
        </is>
      </c>
      <c r="D54" s="3" t="inlineStr">
        <is>
          <t>Validation blocked before the window opens (409)</t>
        </is>
      </c>
      <c r="E54" s="3" t="inlineStr">
        <is>
          <t>A ticket whose match kickoff is &gt;2h away.</t>
        </is>
      </c>
      <c r="F54" s="3" t="inlineStr">
        <is>
          <t>1. Attempt to validate it</t>
        </is>
      </c>
      <c r="G54" s="3" t="inlineStr">
        <is>
          <t>Refused with 409 — the validation window opens 2h before kickoff.</t>
        </is>
      </c>
      <c r="H54" s="6" t="inlineStr">
        <is>
          <t>P0</t>
        </is>
      </c>
      <c r="I54" s="6" t="inlineStr">
        <is>
          <t>Y</t>
        </is>
      </c>
      <c r="J54" s="3" t="n"/>
      <c r="K54" s="3" t="n"/>
      <c r="L54" s="3" t="n"/>
      <c r="M54" s="3" t="n"/>
    </row>
    <row r="55">
      <c r="A55" s="6" t="inlineStr">
        <is>
          <t>VAL-04</t>
        </is>
      </c>
      <c r="B55" s="3" t="inlineStr">
        <is>
          <t>8. Ticket Validation</t>
        </is>
      </c>
      <c r="C55" s="3" t="inlineStr">
        <is>
          <t>Staff</t>
        </is>
      </c>
      <c r="D55" s="3" t="inlineStr">
        <is>
          <t>Validation blocked after the window closes (409)</t>
        </is>
      </c>
      <c r="E55" s="3" t="inlineStr">
        <is>
          <t>A ticket whose match ended (&gt;kickoff+2h).</t>
        </is>
      </c>
      <c r="F55" s="3" t="inlineStr">
        <is>
          <t>1. Attempt to validate it</t>
        </is>
      </c>
      <c r="G55" s="3" t="inlineStr">
        <is>
          <t>Refused with 409 — the window closes at kickoff + match duration.</t>
        </is>
      </c>
      <c r="H55" s="6" t="inlineStr">
        <is>
          <t>P0</t>
        </is>
      </c>
      <c r="I55" s="6" t="inlineStr">
        <is>
          <t>Y</t>
        </is>
      </c>
      <c r="J55" s="3" t="n"/>
      <c r="K55" s="3" t="n"/>
      <c r="L55" s="3" t="n"/>
      <c r="M55" s="3" t="n"/>
    </row>
    <row r="56">
      <c r="A56" s="6" t="inlineStr">
        <is>
          <t>VAL-05</t>
        </is>
      </c>
      <c r="B56" s="3" t="inlineStr">
        <is>
          <t>8. Ticket Validation</t>
        </is>
      </c>
      <c r="C56" s="3" t="inlineStr">
        <is>
          <t>Staff</t>
        </is>
      </c>
      <c r="D56" s="3" t="inlineStr">
        <is>
          <t>Already-validated ticket is rejected</t>
        </is>
      </c>
      <c r="E56" s="3" t="inlineStr">
        <is>
          <t>A ticket already validated once.</t>
        </is>
      </c>
      <c r="F56" s="3" t="inlineStr">
        <is>
          <t>1. Validate the same ticket again</t>
        </is>
      </c>
      <c r="G56" s="3" t="inlineStr">
        <is>
          <t>Second attempt is rejected (conflict); the ticket is not double-counted.</t>
        </is>
      </c>
      <c r="H56" s="6" t="inlineStr">
        <is>
          <t>P1</t>
        </is>
      </c>
      <c r="I56" s="6" t="inlineStr">
        <is>
          <t>N</t>
        </is>
      </c>
      <c r="J56" s="3" t="n"/>
      <c r="K56" s="3" t="n"/>
      <c r="L56" s="3" t="n"/>
      <c r="M56" s="3" t="n"/>
    </row>
    <row r="57">
      <c r="A57" s="6" t="inlineStr">
        <is>
          <t>VAL-06</t>
        </is>
      </c>
      <c r="B57" s="3" t="inlineStr">
        <is>
          <t>8. Ticket Validation</t>
        </is>
      </c>
      <c r="C57" s="3" t="inlineStr">
        <is>
          <t>Staff</t>
        </is>
      </c>
      <c r="D57" s="3" t="inlineStr">
        <is>
          <t>Unknown/invalid code is not found</t>
        </is>
      </c>
      <c r="E57" s="3" t="inlineStr">
        <is>
          <t>Within a valid window.</t>
        </is>
      </c>
      <c r="F57" s="3" t="inlineStr">
        <is>
          <t>1. Enter a made-up/invalid ticket code</t>
        </is>
      </c>
      <c r="G57" s="3" t="inlineStr">
        <is>
          <t>A clean not-found/invalid message; nothing is validated.</t>
        </is>
      </c>
      <c r="H57" s="6" t="inlineStr">
        <is>
          <t>P1</t>
        </is>
      </c>
      <c r="I57" s="6" t="inlineStr">
        <is>
          <t>N</t>
        </is>
      </c>
      <c r="J57" s="3" t="n"/>
      <c r="K57" s="3" t="n"/>
      <c r="L57" s="3" t="n"/>
      <c r="M57" s="3" t="n"/>
    </row>
    <row r="58">
      <c r="A58" s="6" t="inlineStr">
        <is>
          <t>VAL-07</t>
        </is>
      </c>
      <c r="B58" s="3" t="inlineStr">
        <is>
          <t>8. Ticket Validation</t>
        </is>
      </c>
      <c r="C58" s="3" t="inlineStr">
        <is>
          <t>Manager / admin</t>
        </is>
      </c>
      <c r="D58" s="3" t="inlineStr">
        <is>
          <t>Validation reflected in stats</t>
        </is>
      </c>
      <c r="E58" s="3" t="inlineStr">
        <is>
          <t>A ticket validated in VAL-01.</t>
        </is>
      </c>
      <c r="F58" s="3" t="inlineStr">
        <is>
          <t>1. Open the sales/stats dashboard</t>
        </is>
      </c>
      <c r="G58" s="3" t="inlineStr">
        <is>
          <t>Validated count and validation rate increase accordingly.</t>
        </is>
      </c>
      <c r="H58" s="6" t="inlineStr">
        <is>
          <t>P2</t>
        </is>
      </c>
      <c r="I58" s="6" t="inlineStr">
        <is>
          <t>N</t>
        </is>
      </c>
      <c r="J58" s="3" t="n"/>
      <c r="K58" s="3" t="n"/>
      <c r="L58" s="3" t="n"/>
      <c r="M58" s="3" t="n"/>
    </row>
    <row r="59">
      <c r="A59" s="6" t="inlineStr">
        <is>
          <t>STATS-01</t>
        </is>
      </c>
      <c r="B59" s="3" t="inlineStr">
        <is>
          <t>9. Statistics Dashboards (role-aware)</t>
        </is>
      </c>
      <c r="C59" s="3" t="inlineStr">
        <is>
          <t>Platform admin</t>
        </is>
      </c>
      <c r="D59" s="3" t="inlineStr">
        <is>
          <t>Admin home shows the GLOBAL sales dashboard</t>
        </is>
      </c>
      <c r="E59" s="3" t="inlineStr">
        <is>
          <t>Some sales/validations exist.</t>
        </is>
      </c>
      <c r="F59" s="3" t="inlineStr">
        <is>
          <t>1. Log in as admin → home</t>
        </is>
      </c>
      <c r="G59" s="3" t="inlineStr">
        <is>
          <t>Dashboard shows global sold / validated / revenue / validation-rate with charts.</t>
        </is>
      </c>
      <c r="H59" s="6" t="inlineStr">
        <is>
          <t>P0</t>
        </is>
      </c>
      <c r="I59" s="6" t="inlineStr">
        <is>
          <t>N</t>
        </is>
      </c>
      <c r="J59" s="3" t="n"/>
      <c r="K59" s="3" t="n"/>
      <c r="L59" s="3" t="n"/>
      <c r="M59" s="3" t="n"/>
    </row>
    <row r="60">
      <c r="A60" s="6" t="inlineStr">
        <is>
          <t>STATS-02</t>
        </is>
      </c>
      <c r="B60" s="3" t="inlineStr">
        <is>
          <t>9. Statistics Dashboards (role-aware)</t>
        </is>
      </c>
      <c r="C60" s="3" t="inlineStr">
        <is>
          <t>Club manager</t>
        </is>
      </c>
      <c r="D60" s="3" t="inlineStr">
        <is>
          <t>Manager home shows CLUB-scoped sales</t>
        </is>
      </c>
      <c r="E60" s="3" t="inlineStr">
        <is>
          <t>gestor manages club X with sales.</t>
        </is>
      </c>
      <c r="F60" s="3" t="inlineStr">
        <is>
          <t>1. Log in as gestor → home</t>
        </is>
      </c>
      <c r="G60" s="3" t="inlineStr">
        <is>
          <t>Dashboard is scoped to club X (its sales/revenue only), not global.</t>
        </is>
      </c>
      <c r="H60" s="6" t="inlineStr">
        <is>
          <t>P0</t>
        </is>
      </c>
      <c r="I60" s="6" t="inlineStr">
        <is>
          <t>N</t>
        </is>
      </c>
      <c r="J60" s="3" t="n"/>
      <c r="K60" s="3" t="n"/>
      <c r="L60" s="3" t="n"/>
      <c r="M60" s="3" t="n"/>
    </row>
    <row r="61">
      <c r="A61" s="6" t="inlineStr">
        <is>
          <t>STATS-03</t>
        </is>
      </c>
      <c r="B61" s="3" t="inlineStr">
        <is>
          <t>9. Statistics Dashboards (role-aware)</t>
        </is>
      </c>
      <c r="C61" s="3" t="inlineStr">
        <is>
          <t>Staff</t>
        </is>
      </c>
      <c r="D61" s="3" t="inlineStr">
        <is>
          <t>Staff home shows counts but NO revenue</t>
        </is>
      </c>
      <c r="E61" s="3" t="inlineStr">
        <is>
          <t>staff of club X.</t>
        </is>
      </c>
      <c r="F61" s="3" t="inlineStr">
        <is>
          <t>1. Log in as staff → home</t>
        </is>
      </c>
      <c r="G61" s="3" t="inlineStr">
        <is>
          <t>Sold/validated counts are shown but revenue is hidden (server returns revenue=null for staff).</t>
        </is>
      </c>
      <c r="H61" s="6" t="inlineStr">
        <is>
          <t>P0</t>
        </is>
      </c>
      <c r="I61" s="6" t="inlineStr">
        <is>
          <t>N</t>
        </is>
      </c>
      <c r="J61" s="3" t="n"/>
      <c r="K61" s="3" t="n"/>
      <c r="L61" s="3" t="n"/>
      <c r="M61" s="3" t="n"/>
    </row>
    <row r="62">
      <c r="A62" s="6" t="inlineStr">
        <is>
          <t>STATS-04</t>
        </is>
      </c>
      <c r="B62" s="3" t="inlineStr">
        <is>
          <t>9. Statistics Dashboards (role-aware)</t>
        </is>
      </c>
      <c r="C62" s="3" t="inlineStr">
        <is>
          <t>Staff / manager</t>
        </is>
      </c>
      <c r="D62" s="3" t="inlineStr">
        <is>
          <t>Non-admin is refused the global stats endpoint (403)</t>
        </is>
      </c>
      <c r="E62" s="3" t="inlineStr">
        <is>
          <t>staff and gestor logged in.</t>
        </is>
      </c>
      <c r="F62" s="3" t="inlineStr">
        <is>
          <t>1. Call GET /api/v1/stats/sales/summary as staff and as gestor</t>
        </is>
      </c>
      <c r="G62" s="3" t="inlineStr">
        <is>
          <t>Both get 403; only platform-admin reads the global summary. Enforced server-side.</t>
        </is>
      </c>
      <c r="H62" s="6" t="inlineStr">
        <is>
          <t>P0</t>
        </is>
      </c>
      <c r="I62" s="6" t="inlineStr">
        <is>
          <t>Y</t>
        </is>
      </c>
      <c r="J62" s="3" t="n"/>
      <c r="K62" s="3" t="n"/>
      <c r="L62" s="3" t="n"/>
      <c r="M62" s="3" t="n"/>
    </row>
    <row r="63">
      <c r="A63" s="6" t="inlineStr">
        <is>
          <t>STATS-05</t>
        </is>
      </c>
      <c r="B63" s="3" t="inlineStr">
        <is>
          <t>9. Statistics Dashboards (role-aware)</t>
        </is>
      </c>
      <c r="C63" s="3" t="inlineStr">
        <is>
          <t>Fan</t>
        </is>
      </c>
      <c r="D63" s="3" t="inlineStr">
        <is>
          <t>Fan home shows recent-result cards</t>
        </is>
      </c>
      <c r="E63" s="3" t="inlineStr">
        <is>
          <t>Finished matches with published sheets.</t>
        </is>
      </c>
      <c r="F63" s="3" t="inlineStr">
        <is>
          <t>1. Log in as adepto → home</t>
        </is>
      </c>
      <c r="G63" s="3" t="inlineStr">
        <is>
          <t>Recent results render as per-match cards with goals and cards (player names), not a bare table.</t>
        </is>
      </c>
      <c r="H63" s="6" t="inlineStr">
        <is>
          <t>P1</t>
        </is>
      </c>
      <c r="I63" s="6" t="inlineStr">
        <is>
          <t>N</t>
        </is>
      </c>
      <c r="J63" s="3" t="n"/>
      <c r="K63" s="3" t="n"/>
      <c r="L63" s="3" t="n"/>
      <c r="M63" s="3" t="n"/>
    </row>
    <row r="64">
      <c r="A64" s="6" t="inlineStr">
        <is>
          <t>STATS-06</t>
        </is>
      </c>
      <c r="B64" s="3" t="inlineStr">
        <is>
          <t>9. Statistics Dashboards (role-aware)</t>
        </is>
      </c>
      <c r="C64" s="3" t="inlineStr">
        <is>
          <t>Platform admin</t>
        </is>
      </c>
      <c r="D64" s="3" t="inlineStr">
        <is>
          <t>Sum of per-club sales equals the global total</t>
        </is>
      </c>
      <c r="E64" s="3" t="inlineStr">
        <is>
          <t>Sales across multiple clubs.</t>
        </is>
      </c>
      <c r="F64" s="3" t="inlineStr">
        <is>
          <t>1. Compare the global summary to the sum of per-club figures</t>
        </is>
      </c>
      <c r="G64" s="3" t="inlineStr">
        <is>
          <t>Global total equals the sum of the per-club sales (no double count / drift).</t>
        </is>
      </c>
      <c r="H64" s="6" t="inlineStr">
        <is>
          <t>P1</t>
        </is>
      </c>
      <c r="I64" s="6" t="inlineStr">
        <is>
          <t>Y</t>
        </is>
      </c>
      <c r="J64" s="3" t="n"/>
      <c r="K64" s="3" t="n"/>
      <c r="L64" s="3" t="n"/>
      <c r="M64" s="3" t="n"/>
    </row>
    <row r="65">
      <c r="A65" s="6" t="inlineStr">
        <is>
          <t>STATS-07</t>
        </is>
      </c>
      <c r="B65" s="3" t="inlineStr">
        <is>
          <t>9. Statistics Dashboards (role-aware)</t>
        </is>
      </c>
      <c r="C65" s="3" t="inlineStr">
        <is>
          <t>Any user</t>
        </is>
      </c>
      <c r="D65" s="3" t="inlineStr">
        <is>
          <t>Charts render without crashing</t>
        </is>
      </c>
      <c r="E65" s="3" t="inlineStr">
        <is>
          <t>Any dashboard.</t>
        </is>
      </c>
      <c r="F65" s="3" t="inlineStr">
        <is>
          <t>1. Load each role's dashboard</t>
        </is>
      </c>
      <c r="G65" s="3" t="inlineStr">
        <is>
          <t>recharts renders (bars/lines) with no blank/crash; empty data shows an empty-state, not an error.</t>
        </is>
      </c>
      <c r="H65" s="6" t="inlineStr">
        <is>
          <t>P2</t>
        </is>
      </c>
      <c r="I65" s="6" t="inlineStr">
        <is>
          <t>N</t>
        </is>
      </c>
      <c r="J65" s="3" t="n"/>
      <c r="K65" s="3" t="n"/>
      <c r="L65" s="3" t="n"/>
      <c r="M65" s="3" t="n"/>
    </row>
    <row r="66">
      <c r="A66" s="6" t="inlineStr">
        <is>
          <t>USER-01</t>
        </is>
      </c>
      <c r="B66" s="3" t="inlineStr">
        <is>
          <t>10. User &amp; Role Management (admin)</t>
        </is>
      </c>
      <c r="C66" s="3" t="inlineStr">
        <is>
          <t>Platform admin</t>
        </is>
      </c>
      <c r="D66" s="3" t="inlineStr">
        <is>
          <t>Admin creates a user and assigns a role</t>
        </is>
      </c>
      <c r="E66" s="3" t="inlineStr">
        <is>
          <t>Logged in as admin.</t>
        </is>
      </c>
      <c r="F66" s="3" t="inlineStr">
        <is>
          <t>1. User management → Novo utilizador
2. Set username/email + role; save</t>
        </is>
      </c>
      <c r="G66" s="3" t="inlineStr">
        <is>
          <t>User is created in Keycloak with the chosen role and can log in.</t>
        </is>
      </c>
      <c r="H66" s="6" t="inlineStr">
        <is>
          <t>P0</t>
        </is>
      </c>
      <c r="I66" s="6" t="inlineStr">
        <is>
          <t>N</t>
        </is>
      </c>
      <c r="J66" s="3" t="n"/>
      <c r="K66" s="3" t="n"/>
      <c r="L66" s="3" t="n"/>
      <c r="M66" s="3" t="n"/>
    </row>
    <row r="67">
      <c r="A67" s="6" t="inlineStr">
        <is>
          <t>USER-02</t>
        </is>
      </c>
      <c r="B67" s="3" t="inlineStr">
        <is>
          <t>10. User &amp; Role Management (admin)</t>
        </is>
      </c>
      <c r="C67" s="3" t="inlineStr">
        <is>
          <t>Platform admin</t>
        </is>
      </c>
      <c r="D67" s="3" t="inlineStr">
        <is>
          <t>Admin assigns club membership (manager/staff)</t>
        </is>
      </c>
      <c r="E67" s="3" t="inlineStr">
        <is>
          <t>A user + a club exist.</t>
        </is>
      </c>
      <c r="F67" s="3" t="inlineStr">
        <is>
          <t>1. Assign the user to /clubs/&lt;id&gt;/managers or /staff</t>
        </is>
      </c>
      <c r="G67" s="3" t="inlineStr">
        <is>
          <t>The group membership grants club-scoped manager/staff rights (reflected in the groups claim).</t>
        </is>
      </c>
      <c r="H67" s="6" t="inlineStr">
        <is>
          <t>P0</t>
        </is>
      </c>
      <c r="I67" s="6" t="inlineStr">
        <is>
          <t>N</t>
        </is>
      </c>
      <c r="J67" s="3" t="n"/>
      <c r="K67" s="3" t="n"/>
      <c r="L67" s="3" t="n"/>
      <c r="M67" s="3" t="n"/>
    </row>
    <row r="68">
      <c r="A68" s="6" t="inlineStr">
        <is>
          <t>USER-03</t>
        </is>
      </c>
      <c r="B68" s="3" t="inlineStr">
        <is>
          <t>10. User &amp; Role Management (admin)</t>
        </is>
      </c>
      <c r="C68" s="3" t="inlineStr">
        <is>
          <t>Platform admin</t>
        </is>
      </c>
      <c r="D68" s="3" t="inlineStr">
        <is>
          <t>Admin edits a user / resets password</t>
        </is>
      </c>
      <c r="E68" s="3" t="inlineStr">
        <is>
          <t>An existing user.</t>
        </is>
      </c>
      <c r="F68" s="3" t="inlineStr">
        <is>
          <t>1. Edit the user (role/details)
2. Trigger a temporary-password reset with force-change</t>
        </is>
      </c>
      <c r="G68" s="3" t="inlineStr">
        <is>
          <t>Edits persist; the user is forced to set a new password on next login.</t>
        </is>
      </c>
      <c r="H68" s="6" t="inlineStr">
        <is>
          <t>P1</t>
        </is>
      </c>
      <c r="I68" s="6" t="inlineStr">
        <is>
          <t>N</t>
        </is>
      </c>
      <c r="J68" s="3" t="n"/>
      <c r="K68" s="3" t="n"/>
      <c r="L68" s="3" t="n"/>
      <c r="M68" s="3" t="n"/>
    </row>
    <row r="69">
      <c r="A69" s="6" t="inlineStr">
        <is>
          <t>USER-04</t>
        </is>
      </c>
      <c r="B69" s="3" t="inlineStr">
        <is>
          <t>10. User &amp; Role Management (admin)</t>
        </is>
      </c>
      <c r="C69" s="3" t="inlineStr">
        <is>
          <t>Staff / fan</t>
        </is>
      </c>
      <c r="D69" s="3" t="inlineStr">
        <is>
          <t>Non-admin cannot access user management (403)</t>
        </is>
      </c>
      <c r="E69" s="3" t="inlineStr">
        <is>
          <t>staff and adepto logged in.</t>
        </is>
      </c>
      <c r="F69" s="3" t="inlineStr">
        <is>
          <t>1. Attempt to open user management / call its API</t>
        </is>
      </c>
      <c r="G69" s="3" t="inlineStr">
        <is>
          <t>Refused with 403; the UI does not expose it.</t>
        </is>
      </c>
      <c r="H69" s="6" t="inlineStr">
        <is>
          <t>P0</t>
        </is>
      </c>
      <c r="I69" s="6" t="inlineStr">
        <is>
          <t>Y</t>
        </is>
      </c>
      <c r="J69" s="3" t="n"/>
      <c r="K69" s="3" t="n"/>
      <c r="L69" s="3" t="n"/>
      <c r="M69" s="3" t="n"/>
    </row>
    <row r="70">
      <c r="A70" s="6" t="inlineStr">
        <is>
          <t>USER-05</t>
        </is>
      </c>
      <c r="B70" s="3" t="inlineStr">
        <is>
          <t>10. User &amp; Role Management (admin)</t>
        </is>
      </c>
      <c r="C70" s="3" t="inlineStr">
        <is>
          <t>Club manager</t>
        </is>
      </c>
      <c r="D70" s="3" t="inlineStr">
        <is>
          <t>Manager creates staff scoped to their own club</t>
        </is>
      </c>
      <c r="E70" s="3" t="inlineStr">
        <is>
          <t>gestor manages club X.</t>
        </is>
      </c>
      <c r="F70" s="3" t="inlineStr">
        <is>
          <t>1. In club X members, add a staff member</t>
        </is>
      </c>
      <c r="G70" s="3" t="inlineStr">
        <is>
          <t>New staff is scoped to club X only; manager cannot add members to other clubs.</t>
        </is>
      </c>
      <c r="H70" s="6" t="inlineStr">
        <is>
          <t>P1</t>
        </is>
      </c>
      <c r="I70" s="6" t="inlineStr">
        <is>
          <t>N</t>
        </is>
      </c>
      <c r="J70" s="3" t="n"/>
      <c r="K70" s="3" t="n"/>
      <c r="L70" s="3" t="n"/>
      <c r="M70" s="3" t="n"/>
    </row>
    <row r="71">
      <c r="A71" s="6" t="inlineStr">
        <is>
          <t>USER-06</t>
        </is>
      </c>
      <c r="B71" s="3" t="inlineStr">
        <is>
          <t>10. User &amp; Role Management (admin)</t>
        </is>
      </c>
      <c r="C71" s="3" t="inlineStr">
        <is>
          <t>Platform admin</t>
        </is>
      </c>
      <c r="D71" s="3" t="inlineStr">
        <is>
          <t>Users list shows role column + edit action</t>
        </is>
      </c>
      <c r="E71" s="3" t="inlineStr">
        <is>
          <t>Several users exist.</t>
        </is>
      </c>
      <c r="F71" s="3" t="inlineStr">
        <is>
          <t>1. Open the users list</t>
        </is>
      </c>
      <c r="G71" s="3" t="inlineStr">
        <is>
          <t>Each row shows the role and an edit action; validation on the add/edit form (email, required fields).</t>
        </is>
      </c>
      <c r="H71" s="6" t="inlineStr">
        <is>
          <t>P2</t>
        </is>
      </c>
      <c r="I71" s="6" t="inlineStr">
        <is>
          <t>N</t>
        </is>
      </c>
      <c r="J71" s="3" t="n"/>
      <c r="K71" s="3" t="n"/>
      <c r="L71" s="3" t="n"/>
      <c r="M71" s="3" t="n"/>
    </row>
    <row r="72">
      <c r="A72" s="6" t="inlineStr">
        <is>
          <t>XCUT-01</t>
        </is>
      </c>
      <c r="B72" s="3" t="inlineStr">
        <is>
          <t>11. Cross-cutting (dark mode, errors, prod/HTTPS)</t>
        </is>
      </c>
      <c r="C72" s="3" t="inlineStr">
        <is>
          <t>Any user</t>
        </is>
      </c>
      <c r="D72" s="3" t="inlineStr">
        <is>
          <t>Dark mode: native dropdowns are readable</t>
        </is>
      </c>
      <c r="E72" s="3" t="inlineStr">
        <is>
          <t>Toggle dark mode.</t>
        </is>
      </c>
      <c r="F72" s="3" t="inlineStr">
        <is>
          <t>1. Switch to dark mode
2. Open any native &lt;select&gt; (e.g. filters, forms)</t>
        </is>
      </c>
      <c r="G72" s="3" t="inlineStr">
        <is>
          <t>Options are legible (readable fg/bg); no dark-on-dark unreadable text.</t>
        </is>
      </c>
      <c r="H72" s="6" t="inlineStr">
        <is>
          <t>P1</t>
        </is>
      </c>
      <c r="I72" s="6" t="inlineStr">
        <is>
          <t>N</t>
        </is>
      </c>
      <c r="J72" s="3" t="n"/>
      <c r="K72" s="3" t="n"/>
      <c r="L72" s="3" t="n"/>
      <c r="M72" s="3" t="n"/>
    </row>
    <row r="73">
      <c r="A73" s="6" t="inlineStr">
        <is>
          <t>XCUT-02</t>
        </is>
      </c>
      <c r="B73" s="3" t="inlineStr">
        <is>
          <t>11. Cross-cutting (dark mode, errors, prod/HTTPS)</t>
        </is>
      </c>
      <c r="C73" s="3" t="inlineStr">
        <is>
          <t>Any user</t>
        </is>
      </c>
      <c r="D73" s="3" t="inlineStr">
        <is>
          <t>Responsive layout on mobile width</t>
        </is>
      </c>
      <c r="E73" s="3" t="inlineStr">
        <is>
          <t>None.</t>
        </is>
      </c>
      <c r="F73" s="3" t="inlineStr">
        <is>
          <t>1. Load key pages at ~375px width</t>
        </is>
      </c>
      <c r="G73" s="3" t="inlineStr">
        <is>
          <t>Layout adapts (no horizontal overflow); nav/cards reflow cleanly.</t>
        </is>
      </c>
      <c r="H73" s="6" t="inlineStr">
        <is>
          <t>P2</t>
        </is>
      </c>
      <c r="I73" s="6" t="inlineStr">
        <is>
          <t>N</t>
        </is>
      </c>
      <c r="J73" s="3" t="n"/>
      <c r="K73" s="3" t="n"/>
      <c r="L73" s="3" t="n"/>
      <c r="M73" s="3" t="n"/>
    </row>
    <row r="74">
      <c r="A74" s="6" t="inlineStr">
        <is>
          <t>XCUT-03</t>
        </is>
      </c>
      <c r="B74" s="3" t="inlineStr">
        <is>
          <t>11. Cross-cutting (dark mode, errors, prod/HTTPS)</t>
        </is>
      </c>
      <c r="C74" s="3" t="inlineStr">
        <is>
          <t>Any user</t>
        </is>
      </c>
      <c r="D74" s="3" t="inlineStr">
        <is>
          <t>Friendly error panels (403/404/409)</t>
        </is>
      </c>
      <c r="E74" s="3" t="inlineStr">
        <is>
          <t>Trigger a forbidden, a not-found and a conflict.</t>
        </is>
      </c>
      <c r="F74" s="3" t="inlineStr">
        <is>
          <t>1. Hit a forbidden action, a missing resource, and a conflict (e.g. closed sale)</t>
        </is>
      </c>
      <c r="G74" s="3" t="inlineStr">
        <is>
          <t>Each shows a clear, friendly panel/message — not a raw stack trace or blank screen.</t>
        </is>
      </c>
      <c r="H74" s="6" t="inlineStr">
        <is>
          <t>P1</t>
        </is>
      </c>
      <c r="I74" s="6" t="inlineStr">
        <is>
          <t>N</t>
        </is>
      </c>
      <c r="J74" s="3" t="n"/>
      <c r="K74" s="3" t="n"/>
      <c r="L74" s="3" t="n"/>
      <c r="M74" s="3" t="n"/>
    </row>
    <row r="75">
      <c r="A75" s="6" t="inlineStr">
        <is>
          <t>XCUT-04</t>
        </is>
      </c>
      <c r="B75" s="3" t="inlineStr">
        <is>
          <t>11. Cross-cutting (dark mode, errors, prod/HTTPS)</t>
        </is>
      </c>
      <c r="C75" s="3" t="inlineStr">
        <is>
          <t>Any user</t>
        </is>
      </c>
      <c r="D75" s="3" t="inlineStr">
        <is>
          <t>Timestamps are consistent (UTC)</t>
        </is>
      </c>
      <c r="E75" s="3" t="inlineStr">
        <is>
          <t>Actions that stamp times (purchase/validation).</t>
        </is>
      </c>
      <c r="F75" s="3" t="inlineStr">
        <is>
          <t>1. Perform a timed action and inspect the recorded time</t>
        </is>
      </c>
      <c r="G75" s="3" t="inlineStr">
        <is>
          <t>Times are stored/compared in UTC consistently; window checks behave regardless of client TZ.</t>
        </is>
      </c>
      <c r="H75" s="6" t="inlineStr">
        <is>
          <t>P2</t>
        </is>
      </c>
      <c r="I75" s="6" t="inlineStr">
        <is>
          <t>N</t>
        </is>
      </c>
      <c r="J75" s="3" t="n"/>
      <c r="K75" s="3" t="n"/>
      <c r="L75" s="3" t="n"/>
      <c r="M75" s="3" t="n"/>
    </row>
    <row r="76">
      <c r="A76" s="6" t="inlineStr">
        <is>
          <t>XCUT-05</t>
        </is>
      </c>
      <c r="B76" s="3" t="inlineStr">
        <is>
          <t>11. Cross-cutting (dark mode, errors, prod/HTTPS)</t>
        </is>
      </c>
      <c r="C76" s="3" t="inlineStr">
        <is>
          <t>Any user</t>
        </is>
      </c>
      <c r="D76" s="3" t="inlineStr">
        <is>
          <t>Prod TLS certificate is valid</t>
        </is>
      </c>
      <c r="E76" s="3" t="inlineStr">
        <is>
          <t>Prod URL.</t>
        </is>
      </c>
      <c r="F76" s="3" t="inlineStr">
        <is>
          <t>1. Open https://tessera.swedencentral.cloudapp.azure.com</t>
        </is>
      </c>
      <c r="G76" s="3" t="inlineStr">
        <is>
          <t>Valid Let's Encrypt cert (padlock), no mixed-content warnings.</t>
        </is>
      </c>
      <c r="H76" s="6" t="inlineStr">
        <is>
          <t>P1</t>
        </is>
      </c>
      <c r="I76" s="6" t="inlineStr">
        <is>
          <t>N</t>
        </is>
      </c>
      <c r="J76" s="3" t="n"/>
      <c r="K76" s="3" t="n"/>
      <c r="L76" s="3" t="n"/>
      <c r="M76" s="3" t="n"/>
    </row>
    <row r="77">
      <c r="A77" s="6" t="inlineStr">
        <is>
          <t>XCUT-06</t>
        </is>
      </c>
      <c r="B77" s="3" t="inlineStr">
        <is>
          <t>11. Cross-cutting (dark mode, errors, prod/HTTPS)</t>
        </is>
      </c>
      <c r="C77" s="3" t="inlineStr">
        <is>
          <t>Any user</t>
        </is>
      </c>
      <c r="D77" s="3" t="inlineStr">
        <is>
          <t>Login works end-to-end on prod</t>
        </is>
      </c>
      <c r="E77" s="3" t="inlineStr">
        <is>
          <t>Prod URL; VM running.</t>
        </is>
      </c>
      <c r="F77" s="3" t="inlineStr">
        <is>
          <t>1. Log in on prod and perform one authenticated call</t>
        </is>
      </c>
      <c r="G77" s="3" t="inlineStr">
        <is>
          <t>Login completes (correct issuer under /auth) and authenticated API calls succeed (BFF validates via JWKS) — no 401 loop.</t>
        </is>
      </c>
      <c r="H77" s="6" t="inlineStr">
        <is>
          <t>P0</t>
        </is>
      </c>
      <c r="I77" s="6" t="inlineStr">
        <is>
          <t>N</t>
        </is>
      </c>
      <c r="J77" s="3" t="n"/>
      <c r="K77" s="3" t="n"/>
      <c r="L77" s="3" t="n"/>
      <c r="M77" s="3" t="n"/>
    </row>
  </sheetData>
  <autoFilter ref="A1:M77"/>
  <conditionalFormatting sqref="H2:H200">
    <cfRule type="cellIs" priority="1" operator="equal" dxfId="0">
      <formula>"P0"</formula>
    </cfRule>
  </conditionalFormatting>
  <conditionalFormatting sqref="J2:J200">
    <cfRule type="cellIs" priority="2" operator="equal" dxfId="1">
      <formula>"Pass"</formula>
    </cfRule>
    <cfRule type="cellIs" priority="3" operator="equal" dxfId="2">
      <formula>"Fail"</formula>
    </cfRule>
    <cfRule type="cellIs" priority="4" operator="equal" dxfId="3">
      <formula>"Blocked"</formula>
    </cfRule>
    <cfRule type="cellIs" priority="5" operator="equal" dxfId="4">
      <formula>"N/A"</formula>
    </cfRule>
  </conditionalFormatting>
  <dataValidations count="2">
    <dataValidation sqref="J2:J200" showDropDown="0" showInputMessage="0" showErrorMessage="0" allowBlank="1" type="list">
      <formula1>"Pass,Fail,Blocked,N/A"</formula1>
    </dataValidation>
    <dataValidation sqref="I2:I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62" customWidth="1" min="4" max="4"/>
  </cols>
  <sheetData>
    <row r="1">
      <c r="A1" s="1" t="inlineStr">
        <is>
          <t>Automated Suite (backend JUnit — GitHub Actions: backend-tests)</t>
        </is>
      </c>
    </row>
    <row r="2" ht="150" customHeight="1">
      <c r="A2" s="3" t="inlineStr">
        <is>
          <t>The backend JUnit suites are the API/logic backbone under this manual catalogue. The 'backend-tests' GitHub Actions workflow fans out per service and runs, on every push to develop/main, the unit tests + the @WebMvcTest controller RBAC tests + the @DataJpaTest repository tests + the Testcontainers integration tests (-Pintegration) + JaCoCo, and packages the bootJar. It is the source of truth for server-enforced rules that cannot be bypassed from the UI: role/club scoping (managers/staff), the ticket validation window, box-office/sale closed rules, the async sales event flow, and the stats authorization. This manual catalogue complements it at the layer JUnit cannot reach — the actual UI journeys, Keycloak-hosted login/logout/refresh, payment redirects, dashboards and dark-mode/responsive rendering. Where a functional case is marked Auto?=Y, treat the JUnit suite as the backend source of truth and use the manual case to confirm the UI surfaces it; where Auto?=N, the manual case is the only coverage. Run the suite green on the exact commit being promoted before signing off — any red blocks promotion regardless of manual results.</t>
        </is>
      </c>
    </row>
    <row r="4">
      <c r="A4" s="7" t="inlineStr">
        <is>
          <t>Run: GitHub → Actions → backend-tests → Run workflow (or on push). Locally per service: gradlew test jacocoTestReport bootJar -Pintegration.</t>
        </is>
      </c>
    </row>
    <row r="5">
      <c r="A5" s="7" t="inlineStr">
        <is>
          <t>Produces JUnit + JaCoCo reports (uploaded as run artifacts). Paste the run link below.</t>
        </is>
      </c>
    </row>
    <row r="6">
      <c r="A6" s="7" t="inlineStr">
        <is>
          <t>Run link:  &lt;paste GitHub Actions run URL&gt;</t>
        </is>
      </c>
    </row>
    <row r="8">
      <c r="A8" s="5" t="inlineStr">
        <is>
          <t>#</t>
        </is>
      </c>
      <c r="B8" s="5" t="inlineStr">
        <is>
          <t>Suite group (service · type)</t>
        </is>
      </c>
      <c r="C8" s="5" t="inlineStr">
        <is>
          <t>Status</t>
        </is>
      </c>
      <c r="D8" s="5" t="inlineStr">
        <is>
          <t>Notes / failures</t>
        </is>
      </c>
    </row>
    <row r="9">
      <c r="A9" s="7" t="n">
        <v>1</v>
      </c>
      <c r="B9" s="3" t="inlineStr">
        <is>
          <t>bff-service · proxy/routing + security wiring</t>
        </is>
      </c>
      <c r="C9" s="6" t="n"/>
      <c r="D9" s="3" t="n"/>
    </row>
    <row r="10">
      <c r="A10" s="7" t="n">
        <v>2</v>
      </c>
      <c r="B10" s="3" t="inlineStr">
        <is>
          <t>ticket-service · TicketService (validation window, sale-open, purchase)</t>
        </is>
      </c>
      <c r="C10" s="6" t="n"/>
      <c r="D10" s="3" t="n"/>
    </row>
    <row r="11">
      <c r="A11" s="7" t="n">
        <v>3</v>
      </c>
      <c r="B11" s="3" t="inlineStr">
        <is>
          <t>ticket-service · MB WAY webhook + JWT/claims helpers</t>
        </is>
      </c>
      <c r="C11" s="6" t="n"/>
      <c r="D11" s="3" t="n"/>
    </row>
    <row r="12">
      <c r="A12" s="7" t="n">
        <v>4</v>
      </c>
      <c r="B12" s="3" t="inlineStr">
        <is>
          <t>ticket-service · controller RBAC (@WebMvcTest)</t>
        </is>
      </c>
      <c r="C12" s="6" t="n"/>
      <c r="D12" s="3" t="n"/>
    </row>
    <row r="13">
      <c r="A13" s="7" t="n">
        <v>5</v>
      </c>
      <c r="B13" s="3" t="inlineStr">
        <is>
          <t>ticket-service · producer-side event integration (Testcontainers)</t>
        </is>
      </c>
      <c r="C13" s="6" t="n"/>
      <c r="D13" s="3" t="n"/>
    </row>
    <row r="14">
      <c r="A14" s="7" t="n">
        <v>6</v>
      </c>
      <c r="B14" s="3" t="inlineStr">
        <is>
          <t>match-service · MatchService / PlayerService</t>
        </is>
      </c>
      <c r="C14" s="6" t="n"/>
      <c r="D14" s="3" t="n"/>
    </row>
    <row r="15">
      <c r="A15" s="7" t="n">
        <v>7</v>
      </c>
      <c r="B15" s="3" t="inlineStr">
        <is>
          <t>match-service · MatchSheetService (lock/unlock, reopened event)</t>
        </is>
      </c>
      <c r="C15" s="6" t="n"/>
      <c r="D15" s="3" t="n"/>
    </row>
    <row r="16">
      <c r="A16" s="7" t="n">
        <v>8</v>
      </c>
      <c r="B16" s="3" t="inlineStr">
        <is>
          <t>match-service · Club / Team / Venue services</t>
        </is>
      </c>
      <c r="C16" s="6" t="n"/>
      <c r="D16" s="3" t="n"/>
    </row>
    <row r="17">
      <c r="A17" s="7" t="n">
        <v>9</v>
      </c>
      <c r="B17" s="3" t="inlineStr">
        <is>
          <t>match-service · IAM/membership controllers RBAC</t>
        </is>
      </c>
      <c r="C17" s="6" t="n"/>
      <c r="D17" s="3" t="n"/>
    </row>
    <row r="18">
      <c r="A18" s="7" t="n">
        <v>10</v>
      </c>
      <c r="B18" s="3" t="inlineStr">
        <is>
          <t>match-service · match-sheet repository (@DataJpaTest)</t>
        </is>
      </c>
      <c r="C18" s="6" t="n"/>
      <c r="D18" s="3" t="n"/>
    </row>
    <row r="19">
      <c r="A19" s="7" t="n">
        <v>11</v>
      </c>
      <c r="B19" s="3" t="inlineStr">
        <is>
          <t>statistics-service · SalesService (global + by-club scoping)</t>
        </is>
      </c>
      <c r="C19" s="6" t="n"/>
      <c r="D19" s="3" t="n"/>
    </row>
    <row r="20">
      <c r="A20" s="7" t="n">
        <v>12</v>
      </c>
      <c r="B20" s="3" t="inlineStr">
        <is>
          <t>statistics-service · EventConsumer (idempotent, pending validations)</t>
        </is>
      </c>
      <c r="C20" s="6" t="n"/>
      <c r="D20" s="3" t="n"/>
    </row>
  </sheetData>
  <mergeCells count="1">
    <mergeCell ref="A2:D2"/>
  </mergeCells>
  <dataValidations count="1">
    <dataValidation sqref="C9:C20" showDropDown="0" showInputMessage="0" showErrorMessage="0" allowBlank="1" type="list">
      <formula1>"Pass,Fail,Partial,Not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6" customWidth="1" min="3" max="3"/>
  </cols>
  <sheetData>
    <row r="1">
      <c r="A1" s="1" t="inlineStr">
        <is>
          <t>Promotion Gate &amp; Sign-off</t>
        </is>
      </c>
    </row>
    <row r="3">
      <c r="A3" s="2" t="inlineStr">
        <is>
          <t>Functional tests — total</t>
        </is>
      </c>
      <c r="B3" s="7">
        <f>COUNTA('Functional Tests'!A2:A200)</f>
        <v/>
      </c>
    </row>
    <row r="4">
      <c r="A4" s="2" t="inlineStr">
        <is>
          <t xml:space="preserve">  Pass</t>
        </is>
      </c>
      <c r="B4" s="7">
        <f>COUNTIF('Functional Tests'!J2:J200,"Pass")</f>
        <v/>
      </c>
    </row>
    <row r="5">
      <c r="A5" s="2" t="inlineStr">
        <is>
          <t xml:space="preserve">  Fail</t>
        </is>
      </c>
      <c r="B5" s="7">
        <f>COUNTIF('Functional Tests'!J2:J200,"Fail")</f>
        <v/>
      </c>
    </row>
    <row r="6">
      <c r="A6" s="2" t="inlineStr">
        <is>
          <t xml:space="preserve">  Blocked</t>
        </is>
      </c>
      <c r="B6" s="7">
        <f>COUNTIF('Functional Tests'!J2:J200,"Blocked")</f>
        <v/>
      </c>
    </row>
    <row r="7">
      <c r="A7" s="2" t="inlineStr">
        <is>
          <t xml:space="preserve">  N/A</t>
        </is>
      </c>
      <c r="B7" s="7">
        <f>COUNTIF('Functional Tests'!J2:J200,"N/A")</f>
        <v/>
      </c>
    </row>
    <row r="8">
      <c r="A8" s="2" t="inlineStr">
        <is>
          <t xml:space="preserve">  Not run (blank)</t>
        </is>
      </c>
      <c r="B8" s="7">
        <f>COUNTA('Functional Tests'!A2:A200)-COUNTIF('Functional Tests'!J2:J200,"Pass")-COUNTIF('Functional Tests'!J2:J200,"Fail")-COUNTIF('Functional Tests'!J2:J200,"Blocked")-COUNTIF('Functional Tests'!J2:J200,"N/A")</f>
        <v/>
      </c>
    </row>
    <row r="9">
      <c r="A9" s="2" t="inlineStr">
        <is>
          <t xml:space="preserve">  % Pass</t>
        </is>
      </c>
      <c r="B9" s="8">
        <f>IFERROR(COUNTIF('Functional Tests'!J2:J200,"Pass")/COUNTA('Functional Tests'!A2:A200),0)</f>
        <v/>
      </c>
    </row>
    <row r="10">
      <c r="A10" s="2" t="inlineStr">
        <is>
          <t>P0 tests — total</t>
        </is>
      </c>
      <c r="B10" s="7">
        <f>COUNTIF('Functional Tests'!H2:H200,"P0")</f>
        <v/>
      </c>
    </row>
    <row r="11">
      <c r="A11" s="2" t="inlineStr">
        <is>
          <t>P0 tests — passed</t>
        </is>
      </c>
      <c r="B11" s="7">
        <f>COUNTIFS('Functional Tests'!H2:H200,"P0",'Functional Tests'!J2:J200,"Pass")</f>
        <v/>
      </c>
    </row>
    <row r="12">
      <c r="A12" s="2" t="inlineStr">
        <is>
          <t>All P0 passed?</t>
        </is>
      </c>
      <c r="B12" s="7">
        <f>IF(COUNTIFS('Functional Tests'!H2:H200,"P0",'Functional Tests'!J2:J200,"Pass")=COUNTIF('Functional Tests'!H2:H200,"P0"),"YES","NO")</f>
        <v/>
      </c>
    </row>
    <row r="14">
      <c r="A14" s="2" t="inlineStr">
        <is>
          <t>Promotion gate criteria (mark Met? = Y/N)</t>
        </is>
      </c>
    </row>
    <row r="15">
      <c r="A15" s="9" t="inlineStr">
        <is>
          <t>G1</t>
        </is>
      </c>
      <c r="B15" s="6" t="n"/>
      <c r="C15" s="3" t="inlineStr">
        <is>
          <t>All P0 functional tests pass on the exact build under test. P0s are the gate-blocking happy paths and the non-negotiable RBAC / data-isolation / money negatives.</t>
        </is>
      </c>
    </row>
    <row r="16">
      <c r="A16" s="9" t="inlineStr">
        <is>
          <t>G2</t>
        </is>
      </c>
      <c r="B16" s="6" t="n"/>
      <c r="C16" s="3" t="inlineStr">
        <is>
          <t>RBAC &amp; data-isolation negatives all hold: managers/staff scoped to their own club (RBAC-05/06, CAT-05, MATCH-02, BOX-02/03, SHEET-08, VAL-02, STATS-04, USER-04); no cross-club mutation or read, staff never sees revenue (STATS-03).</t>
        </is>
      </c>
    </row>
    <row r="17">
      <c r="A17" s="9" t="inlineStr">
        <is>
          <t>G3</t>
        </is>
      </c>
      <c r="B17" s="6" t="n"/>
      <c r="C17" s="3" t="inlineStr">
        <is>
          <t>Ticket lifecycle proven end-to-end: buy via MB WAY and Stripe (BUY-01/02) → appears in My Tickets → validate within the window (VAL-01) → stats update; and the window/closed guards refuse out-of-window buys/validations (BUY-03, VAL-03/04, BOX-02).</t>
        </is>
      </c>
    </row>
    <row r="18">
      <c r="A18" s="9" t="inlineStr">
        <is>
          <t>G4</t>
        </is>
      </c>
      <c r="B18" s="6" t="n"/>
      <c r="C18" s="3" t="inlineStr">
        <is>
          <t>Auth boundaries hold: valid login (AUTH-01), invalid rejected (AUTH-02), logout kills the session with no back-button access (AUTH-03), and the backend rejects no/invalid tokens with 401 (AUTH-08).</t>
        </is>
      </c>
    </row>
    <row r="19">
      <c r="A19" s="9" t="inlineStr">
        <is>
          <t>G5</t>
        </is>
      </c>
      <c r="B19" s="6" t="n"/>
      <c r="C19" s="3" t="inlineStr">
        <is>
          <t>The backend JUnit suite (backend-tests) is green on the same commit (unit + @WebMvcTest + @DataJpaTest + Testcontainers integration); its run link is attached. Any red blocks promotion.</t>
        </is>
      </c>
    </row>
    <row r="20">
      <c r="A20" s="9" t="inlineStr">
        <is>
          <t>G6</t>
        </is>
      </c>
      <c r="B20" s="6" t="n"/>
      <c r="C20" s="3" t="inlineStr">
        <is>
          <t>Match-sheet flow works: fill → lock → public viewer (SHEET-01/02/03/05); unlock invalidates and rebuilds the stats snapshot (SHEET-04); score-vs-sheet mismatch warns without blocking (SHEET-06/07).</t>
        </is>
      </c>
    </row>
    <row r="21">
      <c r="A21" s="9" t="inlineStr">
        <is>
          <t>G7</t>
        </is>
      </c>
      <c r="B21" s="6" t="n"/>
      <c r="C21" s="3" t="inlineStr">
        <is>
          <t>No P1/P2 failure is a data-leak, privilege-escalation or money-movement defect (any such finding auto-escalates to gate-blocking regardless of stated priority); remaining P1/P2 failures are triaged, ticketed, and explicitly accepted by the QA lead before sign-off.</t>
        </is>
      </c>
    </row>
    <row r="22">
      <c r="A22" s="9" t="inlineStr">
        <is>
          <t>G8</t>
        </is>
      </c>
      <c r="B22" s="6" t="n"/>
      <c r="C22" s="3" t="inlineStr">
        <is>
          <t>Prod deploy sanity on Azure: valid TLS cert (XCUT-05), login end-to-end with correct issuer/JWKS (XCUT-06), and no console errors on the core journeys.</t>
        </is>
      </c>
    </row>
    <row r="24">
      <c r="A24" s="2" t="inlineStr">
        <is>
          <t>Sign-off</t>
        </is>
      </c>
    </row>
    <row r="25">
      <c r="A25" s="2" t="inlineStr">
        <is>
          <t>QA performed by</t>
        </is>
      </c>
      <c r="C25" s="7" t="n"/>
    </row>
    <row r="26">
      <c r="A26" s="2" t="inlineStr">
        <is>
          <t>Date</t>
        </is>
      </c>
      <c r="C26" s="7" t="n"/>
    </row>
    <row r="27">
      <c r="A27" s="2" t="inlineStr">
        <is>
          <t>Build / commit under test</t>
        </is>
      </c>
      <c r="C27" s="7" t="n"/>
    </row>
    <row r="28">
      <c r="A28" s="2" t="inlineStr">
        <is>
          <t>Automated suite result (link)</t>
        </is>
      </c>
      <c r="C28" s="7" t="n"/>
    </row>
    <row r="29">
      <c r="A29" s="2" t="inlineStr">
        <is>
          <t>Decision (GO / NO-GO)</t>
        </is>
      </c>
      <c r="C29" s="7" t="n"/>
    </row>
    <row r="30">
      <c r="A30" s="2" t="inlineStr">
        <is>
          <t>Promotion ref (merge/tag)</t>
        </is>
      </c>
      <c r="C30" s="7" t="n"/>
    </row>
    <row r="31">
      <c r="A31" s="2" t="inlineStr">
        <is>
          <t>Notes</t>
        </is>
      </c>
      <c r="C31" s="7" t="n"/>
    </row>
  </sheetData>
  <dataValidations count="1">
    <dataValidation sqref="B15:B2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2026-07-08T00:04:05Z</dcterms:created>
  <dcterms:modified xmlns:dcterms="http://purl.org/dc/terms/" xmlns:xsi="http://www.w3.org/2001/XMLSchema-instance" xsi:type="dcterms:W3CDTF">2026-07-08T00:04:05Z</dcterms:modified>
</cp:coreProperties>
</file>